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6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7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9379c299c14d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표지_개요" sheetId="1" r:id="R3fdbad09cecd4c73"/>
    <x:sheet xmlns:r="http://schemas.openxmlformats.org/officeDocument/2006/relationships" name="이해관계자_식별" sheetId="2" r:id="R45fe5f8f67db45f8"/>
    <x:sheet xmlns:r="http://schemas.openxmlformats.org/officeDocument/2006/relationships" name="기능적_요구사항" sheetId="3" r:id="R805f1bbe0681483a"/>
    <x:sheet xmlns:r="http://schemas.openxmlformats.org/officeDocument/2006/relationships" name="비기능적_요구사항" sheetId="4" r:id="Rd7c4b39266c54e34"/>
    <x:sheet xmlns:r="http://schemas.openxmlformats.org/officeDocument/2006/relationships" name="제약사항_예상결과" sheetId="5" r:id="Rde74c4b4970b4453"/>
    <x:sheet xmlns:r="http://schemas.openxmlformats.org/officeDocument/2006/relationships" name="데이터_정의" sheetId="6" r:id="R1f5aeaa33d0e4bbe"/>
    <x:sheet xmlns:r="http://schemas.openxmlformats.org/officeDocument/2006/relationships" name="KPI_검증" sheetId="7" r:id="R9cf61eef0d2343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%"/>
    <x:numFmt numFmtId="202" formatCode="0.00&quot;배&quot;"/>
    <x:numFmt numFmtId="203" formatCode="0.0&quot;분&quot;"/>
  </x:numFmts>
  <x:fonts count="6">
    <x:font>
      <x:sz val="11"/>
      <x:name val="Carlito"/>
    </x:font>
    <x:font>
      <x:sz val="10"/>
      <x:color rgb="FF24364A"/>
      <x:name val="Malgun Gothic"/>
    </x:font>
    <x:font>
      <x:b/>
      <x:sz val="16"/>
      <x:color rgb="FF203E59"/>
      <x:name val="Malgun Gothic"/>
    </x:font>
    <x:font>
      <x:sz val="10"/>
      <x:color rgb="FF5B6B7A"/>
      <x:name val="Malgun Gothic"/>
    </x:font>
    <x:font>
      <x:b/>
      <x:sz val="10"/>
      <x:color rgb="FFFFFFFF"/>
      <x:name val="Malgun Gothic"/>
    </x:font>
    <x:font>
      <x:b/>
      <x:sz val="12"/>
      <x:color rgb="FF203E59"/>
      <x:name val="Malgun Gothic"/>
    </x:font>
  </x:fonts>
  <x:fills count="8">
    <x:fill>
      <x:patternFill patternType="none"/>
    </x:fill>
    <x:fill>
      <x:patternFill patternType="gray125"/>
    </x:fill>
    <x:fill>
      <x:patternFill patternType="solid">
        <x:fgColor rgb="FF203E59"/>
      </x:patternFill>
    </x:fill>
    <x:fill>
      <x:patternFill patternType="solid">
        <x:fgColor rgb="FFEDF2F7"/>
      </x:patternFill>
    </x:fill>
    <x:fill>
      <x:patternFill patternType="solid">
        <x:fgColor rgb="FFFFF2CC"/>
      </x:patternFill>
    </x:fill>
    <x:fill>
      <x:patternFill patternType="solid">
        <x:fgColor rgb="FF203E59"/>
      </x:patternFill>
    </x:fill>
    <x:fill>
      <x:patternFill patternType="solid">
        <x:fgColor rgb="FFEDF2F7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 applyAlignment="1">
      <x:alignment vertical="top" wrapText="1"/>
    </x:xf>
    <x:xf numFmtId="203" fontId="1" fillId="3" borderId="0" xfId="0" applyNumberFormat="1" applyFont="1" applyFill="1" applyBorder="1" applyAlignment="1">
      <x:alignment vertical="top" wrapText="1"/>
    </x:xf>
    <x:xf numFmtId="201" fontId="1" fillId="4" borderId="0" xfId="0" applyNumberFormat="1" applyFont="1" applyFill="1" applyBorder="1" applyAlignment="1">
      <x:alignment vertical="top" wrapText="1"/>
    </x:xf>
    <x:xf numFmtId="202" fontId="1" fillId="4" borderId="0" xfId="0" applyNumberFormat="1" applyFont="1" applyFill="1" applyBorder="1" applyAlignment="1">
      <x:alignment vertical="top" wrapText="1"/>
    </x:xf>
    <x:xf numFmtId="203" fontId="1" fillId="4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color rgb="FF9C0006"/>
      </x:font>
      <x:fill>
        <x:patternFill>
          <x:bgColor rgb="FFFCE4D6"/>
        </x:patternFill>
      </x:fill>
    </x:dxf>
    <x:dxf>
      <x:font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e1e81d46234344" /><Relationship Type="http://schemas.openxmlformats.org/officeDocument/2006/relationships/theme" Target="/xl/theme/theme1.xml" Id="R03bc2f1420b64359" /><Relationship Type="http://schemas.openxmlformats.org/officeDocument/2006/relationships/sharedStrings" Target="/xl/sharedStrings.xml" Id="Rac5499ffbda64780" /><Relationship Type="http://schemas.openxmlformats.org/officeDocument/2006/relationships/worksheet" Target="/xl/worksheets/sheet1.xml" Id="R3fdbad09cecd4c73" /><Relationship Type="http://schemas.openxmlformats.org/officeDocument/2006/relationships/worksheet" Target="/xl/worksheets/sheet2.xml" Id="R45fe5f8f67db45f8" /><Relationship Type="http://schemas.openxmlformats.org/officeDocument/2006/relationships/worksheet" Target="/xl/worksheets/sheet3.xml" Id="R805f1bbe0681483a" /><Relationship Type="http://schemas.openxmlformats.org/officeDocument/2006/relationships/worksheet" Target="/xl/worksheets/sheet4.xml" Id="Rd7c4b39266c54e34" /><Relationship Type="http://schemas.openxmlformats.org/officeDocument/2006/relationships/worksheet" Target="/xl/worksheets/sheet5.xml" Id="Rde74c4b4970b4453" /><Relationship Type="http://schemas.openxmlformats.org/officeDocument/2006/relationships/worksheet" Target="/xl/worksheets/sheet6.xml" Id="R1f5aeaa33d0e4bbe" /><Relationship Type="http://schemas.openxmlformats.org/officeDocument/2006/relationships/worksheet" Target="/xl/worksheets/sheet7.xml" Id="R9cf61eef0d2343cc" /></Relationships>
</file>

<file path=xl/tables/table1.xml><?xml version="1.0" encoding="utf-8"?>
<x:table xmlns:x="http://schemas.openxmlformats.org/spreadsheetml/2006/main" id="3" name="ProjectOverview" displayName="ProjectOverview" ref="A5:D15" headerRowCount="1" totalsRowCount="0" totalsRowShown="0">
  <x:tableColumns count="4">
    <x:tableColumn id="1" name="항목"/>
    <x:tableColumn id="2" name="내용"/>
    <x:tableColumn id="3" name="구분"/>
    <x:tableColumn id="4" name="세부 내용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4" name="RequirementCounts" displayName="RequirementCounts" ref="A19:D21" headerRowCount="1" totalsRowCount="0" totalsRowShown="0">
  <x:tableColumns count="4">
    <x:tableColumn id="1" name="분류"/>
    <x:tableColumn id="2" name="전체 상세 요구사항"/>
    <x:tableColumn id="3" name="필수 요구사항"/>
    <x:tableColumn id="4" name="검증완료 요구사항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5" name="ProjectSchedule" displayName="ProjectSchedule" ref="A25:D31" headerRowCount="1" totalsRowCount="0" totalsRowShown="0">
  <x:tableColumns count="4">
    <x:tableColumn id="1" name="기간"/>
    <x:tableColumn id="2" name="예정 작업"/>
    <x:tableColumn id="3" name="상태"/>
    <x:tableColumn id="4" name="확인 사항"/>
  </x:tableColumns>
  <x:tableStyleInfo name="TableStyleMedium2" showFirstColumn="0" showLastColumn="0" showRowStripes="0" showColumnStripes="0"/>
</x:table>
</file>

<file path=xl/tables/table4.xml><?xml version="1.0" encoding="utf-8"?>
<x:table xmlns:x="http://schemas.openxmlformats.org/spreadsheetml/2006/main" id="6" name="ChangeHistory" displayName="ChangeHistory" ref="A35:D36" headerRowCount="1" totalsRowCount="0" totalsRowShown="0">
  <x:tableColumns count="4">
    <x:tableColumn id="1" name="버전"/>
    <x:tableColumn id="2" name="변경 내용"/>
    <x:tableColumn id="3" name="작성일"/>
    <x:tableColumn id="4" name="검토 상태"/>
  </x:tableColumns>
  <x:tableStyleInfo name="TableStyleMedium2" showFirstColumn="0" showLastColumn="0" showRowStripes="0" showColumnStripes="0"/>
</x:table>
</file>

<file path=xl/tables/table5.xml><?xml version="1.0" encoding="utf-8"?>
<x:table xmlns:x="http://schemas.openxmlformats.org/spreadsheetml/2006/main" id="7" name="Stakeholders" displayName="Stakeholders" ref="A5:F14" headerRowCount="1" totalsRowCount="0" totalsRowShown="0">
  <x:tableColumns count="6">
    <x:tableColumn id="1" name="구분"/>
    <x:tableColumn id="2" name="이해관계자"/>
    <x:tableColumn id="3" name="역할/책임"/>
    <x:tableColumn id="4" name="요구사항 출처"/>
    <x:tableColumn id="5" name="협업 역할"/>
    <x:tableColumn id="6" name="비고"/>
  </x:tableColumns>
  <x:tableStyleInfo name="TableStyleMedium2" showFirstColumn="0" showLastColumn="0" showRowStripes="0" showColumnStripes="0"/>
</x:table>
</file>

<file path=xl/tables/table6.xml><?xml version="1.0" encoding="utf-8"?>
<x:table xmlns:x="http://schemas.openxmlformats.org/spreadsheetml/2006/main" id="1" name="FunctionalRequirements" displayName="FunctionalRequirements" ref="A5:R29" headerRowCount="1" totalsRowCount="0" totalsRowShown="0">
  <x:tableColumns count="18">
    <x:tableColumn id="1" name="NO"/>
    <x:tableColumn id="2" name="요구사항No(Main)"/>
    <x:tableColumn id="3" name="요구사항No(Sub)"/>
    <x:tableColumn id="4" name="요구사항명"/>
    <x:tableColumn id="5" name="상세 요구사항 정의"/>
    <x:tableColumn id="6" name="유형"/>
    <x:tableColumn id="7" name="구분"/>
    <x:tableColumn id="8" name="도출단계"/>
    <x:tableColumn id="9" name="상태"/>
    <x:tableColumn id="10" name="출처"/>
    <x:tableColumn id="11" name="제약사항"/>
    <x:tableColumn id="12" name="수용여부"/>
    <x:tableColumn id="13" name="변경내역"/>
    <x:tableColumn id="14" name="우선순위"/>
    <x:tableColumn id="15" name="담당 역할"/>
    <x:tableColumn id="16" name="목표일(제안)"/>
    <x:tableColumn id="17" name="검증·수용 기준"/>
    <x:tableColumn id="18" name="검증 결과·증빙"/>
  </x:tableColumns>
  <x:tableStyleInfo name="TableStyleMedium2" showFirstColumn="0" showLastColumn="0" showRowStripes="0" showColumnStripes="0"/>
</x:table>
</file>

<file path=xl/tables/table7.xml><?xml version="1.0" encoding="utf-8"?>
<x:table xmlns:x="http://schemas.openxmlformats.org/spreadsheetml/2006/main" id="2" name="NonfunctionalRequirements" displayName="NonfunctionalRequirements" ref="A5:R17" headerRowCount="1" totalsRowCount="0" totalsRowShown="0">
  <x:tableColumns count="18">
    <x:tableColumn id="1" name="NO"/>
    <x:tableColumn id="2" name="요구사항No(Main)"/>
    <x:tableColumn id="3" name="요구사항No(Sub)"/>
    <x:tableColumn id="4" name="요구사항명"/>
    <x:tableColumn id="5" name="상세 요구사항 정의"/>
    <x:tableColumn id="6" name="유형"/>
    <x:tableColumn id="7" name="구분"/>
    <x:tableColumn id="8" name="도출단계"/>
    <x:tableColumn id="9" name="상태"/>
    <x:tableColumn id="10" name="출처"/>
    <x:tableColumn id="11" name="제약사항"/>
    <x:tableColumn id="12" name="수용여부"/>
    <x:tableColumn id="13" name="변경내역"/>
    <x:tableColumn id="14" name="우선순위"/>
    <x:tableColumn id="15" name="담당 역할"/>
    <x:tableColumn id="16" name="목표일(제안)"/>
    <x:tableColumn id="17" name="검증·수용 기준"/>
    <x:tableColumn id="18" name="검증 결과·증빙"/>
  </x:tableColumns>
  <x:tableStyleInfo name="TableStyleMedium2" showFirstColumn="0" showLastColumn="0" showRowStripes="0" showColumnStripes="0"/>
</x:table>
</file>

<file path=xl/tables/table8.xml><?xml version="1.0" encoding="utf-8"?>
<x:table xmlns:x="http://schemas.openxmlformats.org/spreadsheetml/2006/main" id="8" name="Constraints" displayName="Constraints" ref="A5:E15" headerRowCount="1" totalsRowCount="0" totalsRowShown="0">
  <x:tableColumns count="5">
    <x:tableColumn id="1" name="구분"/>
    <x:tableColumn id="2" name="내용"/>
    <x:tableColumn id="3" name="영향"/>
    <x:tableColumn id="4" name="대응 방안"/>
    <x:tableColumn id="5" name="관련 요구사항"/>
  </x:tableColumns>
  <x:tableStyleInfo name="TableStyleMedium2" showFirstColumn="0" showLastColumn="0" showRowStripes="0" showColumnStripes="0"/>
</x:table>
</file>

<file path=xl/tables/table9.xml><?xml version="1.0" encoding="utf-8"?>
<x:table xmlns:x="http://schemas.openxmlformats.org/spreadsheetml/2006/main" id="9" name="ExpectedResults" displayName="ExpectedResults" ref="A19:E23" headerRowCount="1" totalsRowCount="0" totalsRowShown="0">
  <x:tableColumns count="5">
    <x:tableColumn id="1" name="구분"/>
    <x:tableColumn id="2" name="예상 결과"/>
    <x:tableColumn id="3" name="확인 방법"/>
    <x:tableColumn id="4" name="달성하지 못한 경우"/>
    <x:tableColumn id="5" name="관련 요구사항"/>
  </x:tableColumns>
  <x:tableStyleInfo name="TableStyleMedium2" showFirstColumn="0" showLastColumn="0" showRowStripes="0" showColumnStripes="0"/>
</x:table>
</file>

<file path=xl/tables/table10.xml><?xml version="1.0" encoding="utf-8"?>
<x:table xmlns:x="http://schemas.openxmlformats.org/spreadsheetml/2006/main" id="10" name="Decisions" displayName="Decisions" ref="A27:E32" headerRowCount="1" totalsRowCount="0" totalsRowShown="0">
  <x:tableColumns count="5">
    <x:tableColumn id="1" name="항목"/>
    <x:tableColumn id="2" name="현재 상태"/>
    <x:tableColumn id="3" name="결정 주체"/>
    <x:tableColumn id="4" name="확정 기준"/>
    <x:tableColumn id="5" name="목표 시점"/>
  </x:tableColumns>
  <x:tableStyleInfo name="TableStyleMedium2" showFirstColumn="0" showLastColumn="0" showRowStripes="0" showColumnStripes="0"/>
</x:table>
</file>

<file path=xl/tables/table11.xml><?xml version="1.0" encoding="utf-8"?>
<x:table xmlns:x="http://schemas.openxmlformats.org/spreadsheetml/2006/main" id="11" name="DataDefinitions" displayName="DataDefinitions" ref="A5:F25" headerRowCount="1" totalsRowCount="0" totalsRowShown="0">
  <x:tableColumns count="6">
    <x:tableColumn id="1" name="항목"/>
    <x:tableColumn id="2" name="정의·역할"/>
    <x:tableColumn id="3" name="처리 요구"/>
    <x:tableColumn id="4" name="검증·주의"/>
    <x:tableColumn id="5" name="관련 요구사항"/>
    <x:tableColumn id="6" name="근거"/>
  </x:tableColumns>
  <x:tableStyleInfo name="TableStyleMedium2" showFirstColumn="0" showLastColumn="0" showRowStripes="0" showColumnStripes="0"/>
</x:table>
</file>

<file path=xl/tables/table12.xml><?xml version="1.0" encoding="utf-8"?>
<x:table xmlns:x="http://schemas.openxmlformats.org/spreadsheetml/2006/main" id="12" name="SourceRegister" displayName="SourceRegister" ref="A29:F46" headerRowCount="1" totalsRowCount="0" totalsRowShown="0">
  <x:tableColumns count="6">
    <x:tableColumn id="1" name="출처 ID"/>
    <x:tableColumn id="2" name="자료명"/>
    <x:tableColumn id="3" name="위치·URL"/>
    <x:tableColumn id="4" name="요구사항 반영"/>
    <x:tableColumn id="5" name="확인 수준"/>
    <x:tableColumn id="6" name="해석 한계"/>
  </x:tableColumns>
  <x:tableStyleInfo name="TableStyleMedium2" showFirstColumn="0" showLastColumn="0" showRowStripes="0" showColumnStripes="0"/>
</x:table>
</file>

<file path=xl/tables/table13.xml><?xml version="1.0" encoding="utf-8"?>
<x:table xmlns:x="http://schemas.openxmlformats.org/spreadsheetml/2006/main" id="13" name="KpiTargets" displayName="KpiTargets" ref="A5:J8" headerRowCount="1" totalsRowCount="0" totalsRowShown="0">
  <x:tableColumns count="10">
    <x:tableColumn id="1" name="ID"/>
    <x:tableColumn id="2" name="가설·지표"/>
    <x:tableColumn id="3" name="산출 정의"/>
    <x:tableColumn id="4" name="목표 상태"/>
    <x:tableColumn id="5" name="목표"/>
    <x:tableColumn id="6" name="실측 A"/>
    <x:tableColumn id="7" name="비교값 B"/>
    <x:tableColumn id="8" name="계산 결과"/>
    <x:tableColumn id="9" name="판정"/>
    <x:tableColumn id="10" name="측정 조건·증빙"/>
  </x:tableColumns>
  <x:tableStyleInfo name="TableStyleMedium2" showFirstColumn="0" showLastColumn="0" showRowStripes="0" showColumnStripes="0"/>
</x:table>
</file>

<file path=xl/tables/table14.xml><?xml version="1.0" encoding="utf-8"?>
<x:table xmlns:x="http://schemas.openxmlformats.org/spreadsheetml/2006/main" id="14" name="KpiGuide" displayName="KpiGuide" ref="A12:C15" headerRowCount="1" totalsRowCount="0" totalsRowShown="0">
  <x:tableColumns count="3">
    <x:tableColumn id="1" name="항목"/>
    <x:tableColumn id="2" name="내용"/>
    <x:tableColumn id="3" name="해석"/>
  </x:tableColumns>
  <x:tableStyleInfo name="TableStyleMedium2" showFirstColumn="0" showLastColumn="0" showRowStripes="0" showColumnStripes="0"/>
</x:table>
</file>

<file path=xl/tables/table15.xml><?xml version="1.0" encoding="utf-8"?>
<x:table xmlns:x="http://schemas.openxmlformats.org/spreadsheetml/2006/main" id="15" name="EvaluationPlan" displayName="EvaluationPlan" ref="A19:C24" headerRowCount="1" totalsRowCount="0" totalsRowShown="0">
  <x:tableColumns count="3">
    <x:tableColumn id="1" name="항목"/>
    <x:tableColumn id="2" name="검증 내용"/>
    <x:tableColumn id="3" name="결과·증빙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767fc3cf264a5a" /><Relationship Type="http://schemas.openxmlformats.org/officeDocument/2006/relationships/table" Target="/xl/tables/table2.xml" Id="R2794e1cc1740450b" /><Relationship Type="http://schemas.openxmlformats.org/officeDocument/2006/relationships/table" Target="/xl/tables/table3.xml" Id="R0d8fc8b96ca24b80" /><Relationship Type="http://schemas.openxmlformats.org/officeDocument/2006/relationships/table" Target="/xl/tables/table4.xml" Id="Rca6528b3478c404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5.xml" Id="R18ec8b23dd1a4a6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6.xml" Id="Re198af6ac8df4f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7.xml" Id="Rb2709a4bdd8f43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8.xml" Id="R53f2547c217f4954" /><Relationship Type="http://schemas.openxmlformats.org/officeDocument/2006/relationships/table" Target="/xl/tables/table9.xml" Id="Rf20d1e807ec14b65" /><Relationship Type="http://schemas.openxmlformats.org/officeDocument/2006/relationships/table" Target="/xl/tables/table10.xml" Id="R23a7e274d64c469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1.xml" Id="R0a7ac512498e4bb7" /><Relationship Type="http://schemas.openxmlformats.org/officeDocument/2006/relationships/table" Target="/xl/tables/table12.xml" Id="R04891518df1e46f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3.xml" Id="R363ef6a0cb304ec3" /><Relationship Type="http://schemas.openxmlformats.org/officeDocument/2006/relationships/table" Target="/xl/tables/table14.xml" Id="R52dde98067504bef" /><Relationship Type="http://schemas.openxmlformats.org/officeDocument/2006/relationships/table" Target="/xl/tables/table15.xml" Id="Rf24a0162f1924759" /></Relationships>
</file>

<file path=xl/worksheets/sheet1.xml><?xml version="1.0" encoding="utf-8"?>
<x:worksheet xmlns:x="http://schemas.openxmlformats.org/spreadsheetml/2006/main">
  <x:sheetPr>
    <x:tabColor rgb="FF203E5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85" hidden="0" customWidth="1"/>
    <x:col min="3" max="3" width="28" hidden="0" customWidth="1"/>
    <x:col min="4" max="4" width="50" hidden="0" customWidth="1"/>
  </x:cols>
  <x:sheetData>
    <x:row r="1">
      <x:c r="A1" s="2"/>
      <x:c r="B1" s="2"/>
      <x:c r="C1" s="2"/>
      <x:c r="D1" s="2"/>
    </x:row>
    <x:row r="2" ht="30" customHeight="1">
      <x:c r="A2" s="3" t="str">
        <x:v>2차 단위 프로젝트 · 4팀 | 요구사항정의서 v0.1</x:v>
      </x:c>
      <x:c r="B2" s="2"/>
      <x:c r="C2" s="2"/>
      <x:c r="D2" s="2"/>
    </x:row>
    <x:row r="3" ht="25" customHeight="1">
      <x:c r="A3" s="4" t="str">
        <x:v>LoL 플레이어 이탈 위험 예측 · 기획서 v0.2 기준 · 작성일 2026.09.21</x:v>
      </x:c>
      <x:c r="B3" s="2"/>
      <x:c r="C3" s="2"/>
      <x:c r="D3" s="2"/>
    </x:row>
    <x:row r="4">
      <x:c r="A4" s="2"/>
      <x:c r="B4" s="2"/>
      <x:c r="C4" s="2"/>
      <x:c r="D4" s="2"/>
    </x:row>
    <x:row r="5" ht="32" customHeight="1">
      <x:c r="A5" s="8" t="str">
        <x:v>항목</x:v>
      </x:c>
      <x:c r="B5" s="8" t="str">
        <x:v>내용</x:v>
      </x:c>
      <x:c r="C5" s="8" t="str">
        <x:v>구분</x:v>
      </x:c>
      <x:c r="D5" s="8" t="str">
        <x:v>세부 내용</x:v>
      </x:c>
    </x:row>
    <x:row r="6" ht="85" customHeight="1">
      <x:c r="A6" s="10" t="str">
        <x:v>문서명</x:v>
      </x:c>
      <x:c r="B6" s="10" t="str">
        <x:v>요구사항정의서</x:v>
      </x:c>
      <x:c r="C6" s="10" t="str">
        <x:v>문서 상태</x:v>
      </x:c>
      <x:c r="D6" s="10" t="str">
        <x:v>v0.1 검토 완료 / 보완사항 반영</x:v>
      </x:c>
    </x:row>
    <x:row r="7" ht="34" customHeight="1">
      <x:c r="A7" s="9" t="str">
        <x:v>기준 기획서</x:v>
      </x:c>
      <x:c r="B7" s="9" t="str">
        <x:v>2차_단위_프로젝트_4팀_기획초안_v0.2.pdf</x:v>
      </x:c>
      <x:c r="C7" s="9" t="str">
        <x:v>기획서 수정일</x:v>
      </x:c>
      <x:c r="D7" s="12" t="n">
        <x:v>46284</x:v>
      </x:c>
    </x:row>
    <x:row r="8" ht="34" customHeight="1">
      <x:c r="A8" s="10" t="str">
        <x:v>작성일</x:v>
      </x:c>
      <x:c r="B8" s="11" t="n">
        <x:v>46286</x:v>
      </x:c>
      <x:c r="C8" s="10" t="str">
        <x:v>발표일</x:v>
      </x:c>
      <x:c r="D8" s="11" t="n">
        <x:v>46294</x:v>
      </x:c>
    </x:row>
    <x:row r="9" ht="34" customHeight="1">
      <x:c r="A9" s="9" t="str">
        <x:v>목적</x:v>
      </x:c>
      <x:c r="B9" s="9" t="str">
        <x:v>행동 기반 미래 경기 참여 중단 위험과 관리 우선순위를 제공한다.</x:v>
      </x:c>
      <x:c r="C9" s="9" t="str">
        <x:v>주 타깃</x:v>
      </x:c>
      <x:c r="D9" s="9" t="str">
        <x:v>게임 운영·데이터 분석 담당자</x:v>
      </x:c>
    </x:row>
    <x:row r="10" ht="34" customHeight="1">
      <x:c r="A10" s="10" t="str">
        <x:v>분석 단위</x:v>
      </x:c>
      <x:c r="B10" s="10" t="str">
        <x:v>한국 서버 표본의 유저 × 예측 기준일</x:v>
      </x:c>
      <x:c r="C10" s="10" t="str">
        <x:v>표본 한계</x:v>
      </x:c>
      <x:c r="D10" s="10" t="str">
        <x:v>랭크 기반 추출 시 대표성 한계 기록</x:v>
      </x:c>
    </x:row>
    <x:row r="11" ht="34" customHeight="1">
      <x:c r="A11" s="9" t="str">
        <x:v>관찰·예측</x:v>
      </x:c>
      <x:c r="B11" s="9" t="str">
        <x:v>직전 28일 관찰 + 이후 30일 예측</x:v>
      </x:c>
      <x:c r="C11" s="9" t="str">
        <x:v>설계 상태</x:v>
      </x:c>
      <x:c r="D11" s="9" t="str">
        <x:v>모드·N·라벨 확보 가능성 확인 후 확정</x:v>
      </x:c>
    </x:row>
    <x:row r="12" ht="34" customHeight="1">
      <x:c r="A12" s="10" t="str">
        <x:v>대상 모드</x:v>
      </x:c>
      <x:c r="B12" s="10" t="str">
        <x:v>RANKED SOLO/FLEX, NORMAL, ARAM 및 확정한 기타 주요 모드</x:v>
      </x:c>
      <x:c r="C12" s="10" t="str">
        <x:v>주의</x:v>
      </x:c>
      <x:c r="D12" s="10" t="str">
        <x:v>랭크 중단만으로 이탈 판정 금지</x:v>
      </x:c>
    </x:row>
    <x:row r="13" ht="34" customHeight="1">
      <x:c r="A13" s="9" t="str">
        <x:v>필수 산출물</x:v>
      </x:c>
      <x:c r="B13" s="9" t="str">
        <x:v>데이터 전처리 결과서 / 학습 결과서 / 학습된 모델</x:v>
      </x:c>
      <x:c r="C13" s="9" t="str">
        <x:v>선택 범위</x:v>
      </x:c>
      <x:c r="D13" s="9" t="str">
        <x:v>대시보드·시퀀스 모델 확장</x:v>
      </x:c>
    </x:row>
    <x:row r="14" ht="34" customHeight="1">
      <x:c r="A14" s="10" t="str">
        <x:v>범위 제외</x:v>
      </x:c>
      <x:c r="B14" s="10" t="str">
        <x:v>자동 캠페인, 보상 지급, 메시지 발송, 계정 탈퇴 판정</x:v>
      </x:c>
      <x:c r="C14" s="10" t="str">
        <x:v>성과 한계</x:v>
      </x:c>
      <x:c r="D14" s="10" t="str">
        <x:v>실제 이탈 감소·매출 증대는 미검증</x:v>
      </x:c>
    </x:row>
    <x:row r="15" ht="85" customHeight="1">
      <x:c r="A15" s="9" t="str">
        <x:v>사용 방법</x:v>
      </x:c>
      <x:c r="B15" s="9" t="str">
        <x:v>각 요구사항의 상태·수용여부·증빙을 갱신한다. 노란 셀은 팀 검토·결과 입력 영역이다.</x:v>
      </x:c>
      <x:c r="C15" s="9" t="str">
        <x:v>작성 원칙</x:v>
      </x:c>
      <x:c r="D15" s="9" t="str">
        <x:v>팀원 4명 데이터 수집 중(9/21 사용자 확인). 라벨·성능 검증 완료 여부는 미확인</x:v>
      </x:c>
    </x:row>
    <x:row r="16">
      <x:c r="A16" s="2"/>
      <x:c r="B16" s="2"/>
      <x:c r="C16" s="2"/>
      <x:c r="D16" s="2"/>
    </x:row>
    <x:row r="17">
      <x:c r="A17" s="2"/>
      <x:c r="B17" s="2"/>
      <x:c r="C17" s="2"/>
      <x:c r="D17" s="2"/>
    </x:row>
    <x:row r="18" ht="28" customHeight="1">
      <x:c r="A18" s="14" t="str">
        <x:v>요구사항 현황</x:v>
      </x:c>
      <x:c r="B18" s="2"/>
      <x:c r="C18" s="2"/>
      <x:c r="D18" s="2"/>
    </x:row>
    <x:row r="19" ht="32" customHeight="1">
      <x:c r="A19" s="8" t="str">
        <x:v>분류</x:v>
      </x:c>
      <x:c r="B19" s="8" t="str">
        <x:v>전체 상세 요구사항</x:v>
      </x:c>
      <x:c r="C19" s="8" t="str">
        <x:v>필수 요구사항</x:v>
      </x:c>
      <x:c r="D19" s="8" t="str">
        <x:v>검증완료 요구사항</x:v>
      </x:c>
    </x:row>
    <x:row r="20" ht="34" customHeight="1">
      <x:c r="A20" s="10" t="str">
        <x:v>기능</x:v>
      </x:c>
      <x:c r="B20" s="10" t="n">
        <x:f>COUNTA('기능적_요구사항'!C6:C29)</x:f>
        <x:v>24</x:v>
      </x:c>
      <x:c r="C20" s="10" t="n">
        <x:f>COUNTIFS('기능적_요구사항'!N6:N29,"필수")</x:f>
        <x:v>23</x:v>
      </x:c>
      <x:c r="D20" s="10" t="n">
        <x:f>COUNTIFS('기능적_요구사항'!I6:I29,"검증완료")</x:f>
        <x:v>0</x:v>
      </x:c>
    </x:row>
    <x:row r="21" ht="34" customHeight="1">
      <x:c r="A21" s="9" t="str">
        <x:v>비기능</x:v>
      </x:c>
      <x:c r="B21" s="9" t="n">
        <x:f>COUNTA('비기능적_요구사항'!C6:C17)</x:f>
        <x:v>12</x:v>
      </x:c>
      <x:c r="C21" s="9" t="n">
        <x:f>COUNTIFS('비기능적_요구사항'!N6:N17,"필수")</x:f>
        <x:v>11</x:v>
      </x:c>
      <x:c r="D21" s="9" t="n">
        <x:f>COUNTIFS('비기능적_요구사항'!I6:I17,"검증완료")</x:f>
        <x:v>0</x:v>
      </x:c>
    </x:row>
    <x:row r="22">
      <x:c r="A22" s="2"/>
      <x:c r="B22" s="2"/>
      <x:c r="C22" s="2"/>
      <x:c r="D22" s="2"/>
    </x:row>
    <x:row r="23">
      <x:c r="A23" s="2"/>
      <x:c r="B23" s="2"/>
      <x:c r="C23" s="2"/>
      <x:c r="D23" s="2"/>
    </x:row>
    <x:row r="24" ht="28" customHeight="1">
      <x:c r="A24" s="14" t="str">
        <x:v>기획서 일정과 현재 확인 사항</x:v>
      </x:c>
      <x:c r="B24" s="2"/>
      <x:c r="C24" s="2"/>
      <x:c r="D24" s="2"/>
    </x:row>
    <x:row r="25" ht="32" customHeight="1">
      <x:c r="A25" s="8" t="str">
        <x:v>기간</x:v>
      </x:c>
      <x:c r="B25" s="8" t="str">
        <x:v>예정 작업</x:v>
      </x:c>
      <x:c r="C25" s="8" t="str">
        <x:v>상태</x:v>
      </x:c>
      <x:c r="D25" s="8" t="str">
        <x:v>확인 사항</x:v>
      </x:c>
    </x:row>
    <x:row r="26" ht="85" customHeight="1">
      <x:c r="A26" s="10" t="str">
        <x:v>9/17-9/18</x:v>
      </x:c>
      <x:c r="B26" s="10" t="str">
        <x:v>원 연구·원본·API 소량 점검</x:v>
      </x:c>
      <x:c r="C26" s="10" t="str">
        <x:v>완료</x:v>
      </x:c>
      <x:c r="D26" s="10" t="str">
        <x:v>9/17–9/18 일정 완료: 사용자 확인</x:v>
      </x:c>
    </x:row>
    <x:row r="27" ht="85" customHeight="1">
      <x:c r="A27" s="9" t="str">
        <x:v>9/19-9/21</x:v>
      </x:c>
      <x:c r="B27" s="9" t="str">
        <x:v>수집·정제·변수·라벨 생성</x:v>
      </x:c>
      <x:c r="C27" s="9" t="str">
        <x:v>진행 중</x:v>
      </x:c>
      <x:c r="D27" s="9" t="str">
        <x:v>9/19–9/21 일정 진행 중. 팀원 4명 self-seed 방식 수집</x:v>
      </x:c>
    </x:row>
    <x:row r="28" ht="34" customHeight="1">
      <x:c r="A28" s="10" t="str">
        <x:v>9/22-9/24</x:v>
      </x:c>
      <x:c r="B28" s="10" t="str">
        <x:v>규칙·머신러닝·딥러닝 학습</x:v>
      </x:c>
      <x:c r="C28" s="10" t="str">
        <x:v>계획</x:v>
      </x:c>
      <x:c r="D28" s="10" t="str">
        <x:v>분할·N·전처리 규칙 고정</x:v>
      </x:c>
    </x:row>
    <x:row r="29" ht="34" customHeight="1">
      <x:c r="A29" s="9" t="str">
        <x:v>9/25-9/26</x:v>
      </x:c>
      <x:c r="B29" s="9" t="str">
        <x:v>최종 시험·오류 분석·모델 저장</x:v>
      </x:c>
      <x:c r="C29" s="9" t="str">
        <x:v>계획</x:v>
      </x:c>
      <x:c r="D29" s="9" t="str">
        <x:v>시험 결과로 목표를 사후 변경하지 않음</x:v>
      </x:c>
    </x:row>
    <x:row r="30" ht="34" customHeight="1">
      <x:c r="A30" s="10" t="str">
        <x:v>9/27-9/28</x:v>
      </x:c>
      <x:c r="B30" s="10" t="str">
        <x:v>재실행 점검·발표 자료·리허설</x:v>
      </x:c>
      <x:c r="C30" s="10" t="str">
        <x:v>계획</x:v>
      </x:c>
      <x:c r="D30" s="10" t="str">
        <x:v>세 가지 필수 산출물 일치 확인</x:v>
      </x:c>
    </x:row>
    <x:row r="31" ht="34" customHeight="1">
      <x:c r="A31" s="9" t="str">
        <x:v>9/29</x:v>
      </x:c>
      <x:c r="B31" s="9" t="str">
        <x:v>프로젝트 발표</x:v>
      </x:c>
      <x:c r="C31" s="9" t="str">
        <x:v>확정 일정</x:v>
      </x:c>
      <x:c r="D31" s="9" t="str">
        <x:v>제출 마감 시각은 별도 확인</x:v>
      </x:c>
    </x:row>
    <x:row r="32">
      <x:c r="A32" s="2"/>
      <x:c r="B32" s="2"/>
      <x:c r="C32" s="2"/>
      <x:c r="D32" s="2"/>
    </x:row>
    <x:row r="33">
      <x:c r="A33" s="2"/>
      <x:c r="B33" s="2"/>
      <x:c r="C33" s="2"/>
      <x:c r="D33" s="2"/>
    </x:row>
    <x:row r="34" ht="28" customHeight="1">
      <x:c r="A34" s="14" t="str">
        <x:v>변경 이력</x:v>
      </x:c>
      <x:c r="B34" s="2"/>
      <x:c r="C34" s="2"/>
      <x:c r="D34" s="2"/>
    </x:row>
    <x:row r="35" ht="32" customHeight="1">
      <x:c r="A35" s="8" t="str">
        <x:v>버전</x:v>
      </x:c>
      <x:c r="B35" s="8" t="str">
        <x:v>변경 내용</x:v>
      </x:c>
      <x:c r="C35" s="8" t="str">
        <x:v>작성일</x:v>
      </x:c>
      <x:c r="D35" s="8" t="str">
        <x:v>검토 상태</x:v>
      </x:c>
    </x:row>
    <x:row r="36" ht="85" customHeight="1">
      <x:c r="A36" s="10" t="str">
        <x:v>v0.1</x:v>
      </x:c>
      <x:c r="B36" s="10" t="str">
        <x:v>강의 양식과 기획 v0.2 반영. 30일 라벨·주요 모드·최근 N경기·참고문헌 추적 추가.</x:v>
      </x:c>
      <x:c r="C36" s="11" t="n">
        <x:v>46286</x:v>
      </x:c>
      <x:c r="D36" s="10" t="str">
        <x:v>검토 완료(사용자 확인)</x:v>
      </x:c>
    </x:row>
    <x:row r="37" ht="85" customHeight="1">
      <x:c r="A37" s="2" t="str">
        <x:v>v0.1 보완</x:v>
      </x:c>
      <x:c r="B37" s="2" t="str">
        <x:v>4인 self-seed 수집 방식, 일정 진척, v0.1 검토 완료 및 병합·검증 요건 반영</x:v>
      </x:c>
      <x:c r="C37" s="22" t="n">
        <x:v>46286</x:v>
      </x:c>
      <x:c r="D37" s="2" t="str">
        <x:v>사용자 요청으로 v0.1에 덮어쓰기</x:v>
      </x:c>
    </x:row>
    <x:row r="38">
      <x:c r="A38" s="2"/>
      <x:c r="B38" s="2"/>
      <x:c r="C38" s="2"/>
      <x:c r="D38" s="2"/>
    </x:row>
    <x:row r="39">
      <x:c r="A39" s="14" t="str">
        <x:v>수집 진행 현황 | 2026-09-21 사용자 확인</x:v>
      </x:c>
      <x:c r="B39" s="2"/>
      <x:c r="C39" s="2"/>
      <x:c r="D39" s="2"/>
    </x:row>
    <x:row r="40">
      <x:c r="A40" s="2"/>
      <x:c r="B40" s="2"/>
      <x:c r="C40" s="2"/>
      <x:c r="D40" s="2"/>
    </x:row>
    <x:row r="41" ht="32" customHeight="1">
      <x:c r="A41" s="24" t="str">
        <x:v>항목</x:v>
      </x:c>
      <x:c r="B41" s="24" t="str">
        <x:v>수집 방식·현황</x:v>
      </x:c>
      <x:c r="C41" s="24" t="str">
        <x:v>구분</x:v>
      </x:c>
      <x:c r="D41" s="24" t="str">
        <x:v>확인·검증 기준</x:v>
      </x:c>
    </x:row>
    <x:row r="42" ht="85" customHeight="1">
      <x:c r="A42" s="25" t="str">
        <x:v>수집 인원</x:v>
      </x:c>
      <x:c r="B42" s="25" t="str">
        <x:v>팀원 4명, 각자 발급한 API Key로 독립 수집</x:v>
      </x:c>
      <x:c r="C42" s="25" t="str">
        <x:v>진행 중</x:v>
      </x:c>
      <x:c r="D42" s="25" t="str">
        <x:v>사용자 확인. 개인별 완료량은 미보고</x:v>
      </x:c>
    </x:row>
    <x:row r="43" ht="85" customHeight="1">
      <x:c r="A43" s="26" t="str">
        <x:v>1차 수집</x:v>
      </x:c>
      <x:c r="B43" s="26" t="str">
        <x:v>팀원별 SoloQ 시드 150명 → 주요 모드 경기 참가자로 cohort 500명 확장</x:v>
      </x:c>
      <x:c r="C43" s="26" t="str">
        <x:v>설정 목표</x:v>
      </x:c>
      <x:c r="D43" s="26" t="str">
        <x:v>4 × 500 = 최대 2,000건의 후보 레코드. 고유 유저·학습 가능 표본 수 아님</x:v>
      </x:c>
    </x:row>
    <x:row r="44" ht="85" customHeight="1">
      <x:c r="A44" s="25" t="str">
        <x:v>수집 이력</x:v>
      </x:c>
      <x:c r="B44" s="25" t="str">
        <x:v>team-id 1~4 / batch-id / 별도 base-dir / 체크포인트</x:v>
      </x:c>
      <x:c r="C44" s="25" t="str">
        <x:v>필수 관리</x:v>
      </x:c>
      <x:c r="D44" s="25" t="str">
        <x:v>원본 출처 보존, 팀·배치 간 중복과 식별자 비교 가능성 검증</x:v>
      </x:c>
    </x:row>
    <x:row r="45" ht="85" customHeight="1">
      <x:c r="A45" s="26" t="str">
        <x:v>추가 배치</x:v>
      </x:c>
      <x:c r="B45" s="26" t="str">
        <x:v>안내서: 1차 완료 후 2차 각 500명 추가. 기존 500명 포함 시 최대 4,500건 후보</x:v>
      </x:c>
      <x:c r="C45" s="26" t="str">
        <x:v>조건부 계획</x:v>
      </x:c>
      <x:c r="D45" s="26" t="str">
        <x:v>기존 500명 및 2차 수집 완료는 확인되지 않음. 실적에 합산하지 않음</x:v>
      </x:c>
    </x:row>
    <x:row r="46" ht="85" customHeight="1">
      <x:c r="A46" s="25" t="str">
        <x:v>문서 검토</x:v>
      </x:c>
      <x:c r="B46" s="25" t="str">
        <x:v>요구사항정의서 v0.1 검토 완료 / 수집 현황·일정 보완 반영</x:v>
      </x:c>
      <x:c r="C46" s="25" t="str">
        <x:v>문서 상태</x:v>
      </x:c>
      <x:c r="D46" s="25" t="str">
        <x:v>문서 검토 완료는 개별 요구사항 수용·구현·모델 검증 완료를 뜻하지 않음</x:v>
      </x:c>
    </x:row>
    <x:row r="47">
      <x:c r="A47" s="2"/>
      <x:c r="B47" s="2"/>
      <x:c r="C47" s="2"/>
      <x:c r="D47" s="2"/>
    </x:row>
    <x:row r="48">
      <x:c r="A48" s="2"/>
      <x:c r="B48" s="2"/>
      <x:c r="C48" s="2"/>
      <x:c r="D48" s="2"/>
    </x:row>
    <x:row r="49">
      <x:c r="A49" s="2"/>
      <x:c r="B49" s="2"/>
      <x:c r="C49" s="2"/>
      <x:c r="D49" s="2"/>
    </x:row>
    <x:row r="50">
      <x:c r="A50" s="2"/>
      <x:c r="B50" s="2"/>
      <x:c r="C50" s="2"/>
      <x:c r="D50" s="2"/>
    </x:row>
    <x:row r="51">
      <x:c r="A51" s="2"/>
      <x:c r="B51" s="2"/>
      <x:c r="C51" s="2"/>
      <x:c r="D51" s="2"/>
    </x:row>
    <x:row r="52">
      <x:c r="A52" s="2"/>
      <x:c r="B52" s="2"/>
      <x:c r="C52" s="2"/>
      <x:c r="D52" s="2"/>
    </x:row>
    <x:row r="53">
      <x:c r="A53" s="2"/>
      <x:c r="B53" s="2"/>
      <x:c r="C53" s="2"/>
      <x:c r="D53" s="2"/>
    </x:row>
    <x:row r="54">
      <x:c r="A54" s="2"/>
      <x:c r="B54" s="2"/>
      <x:c r="C54" s="2"/>
      <x:c r="D54" s="2"/>
    </x:row>
    <x:row r="55">
      <x:c r="A55" s="2"/>
      <x:c r="B55" s="2"/>
      <x:c r="C55" s="2"/>
      <x:c r="D55" s="2"/>
    </x:row>
    <x:row r="56">
      <x:c r="A56" s="2"/>
      <x:c r="B56" s="2"/>
      <x:c r="C56" s="2"/>
      <x:c r="D56" s="2"/>
    </x:row>
    <x:row r="57">
      <x:c r="A57" s="2"/>
      <x:c r="B57" s="2"/>
      <x:c r="C57" s="2"/>
      <x:c r="D57" s="2"/>
    </x:row>
    <x:row r="58">
      <x:c r="A58" s="2"/>
      <x:c r="B58" s="2"/>
      <x:c r="C58" s="2"/>
      <x:c r="D58" s="2"/>
    </x:row>
    <x:row r="59">
      <x:c r="A59" s="2"/>
      <x:c r="B59" s="2"/>
      <x:c r="C59" s="2"/>
      <x:c r="D59" s="2"/>
    </x:row>
    <x:row r="60">
      <x:c r="A60" s="2"/>
      <x:c r="B60" s="2"/>
      <x:c r="C60" s="2"/>
      <x:c r="D60" s="2"/>
    </x:row>
    <x:row r="61">
      <x:c r="A61" s="2"/>
      <x:c r="B61" s="2"/>
      <x:c r="C61" s="2"/>
      <x:c r="D61" s="2"/>
    </x:row>
    <x:row r="62">
      <x:c r="A62" s="2"/>
      <x:c r="B62" s="2"/>
      <x:c r="C62" s="2"/>
      <x:c r="D62" s="2"/>
    </x:row>
    <x:row r="63">
      <x:c r="A63" s="2"/>
      <x:c r="B63" s="2"/>
      <x:c r="C63" s="2"/>
      <x:c r="D63" s="2"/>
    </x:row>
    <x:row r="64">
      <x:c r="A64" s="2"/>
      <x:c r="B64" s="2"/>
      <x:c r="C64" s="2"/>
      <x:c r="D64" s="2"/>
    </x:row>
    <x:row r="65">
      <x:c r="A65" s="2"/>
      <x:c r="B65" s="2"/>
      <x:c r="C65" s="2"/>
      <x:c r="D65" s="2"/>
    </x:row>
    <x:row r="66">
      <x:c r="A66" s="2"/>
      <x:c r="B66" s="2"/>
      <x:c r="C66" s="2"/>
      <x:c r="D66" s="2"/>
    </x:row>
    <x:row r="67">
      <x:c r="A67" s="2"/>
      <x:c r="B67" s="2"/>
      <x:c r="C67" s="2"/>
      <x:c r="D67" s="2"/>
    </x:row>
    <x:row r="68">
      <x:c r="A68" s="2"/>
      <x:c r="B68" s="2"/>
      <x:c r="C68" s="2"/>
      <x:c r="D68" s="2"/>
    </x:row>
    <x:row r="69">
      <x:c r="A69" s="2"/>
      <x:c r="B69" s="2"/>
      <x:c r="C69" s="2"/>
      <x:c r="D69" s="2"/>
    </x:row>
    <x:row r="70">
      <x:c r="A70" s="2"/>
      <x:c r="B70" s="2"/>
      <x:c r="C70" s="2"/>
      <x:c r="D70" s="2"/>
    </x:row>
    <x:row r="71">
      <x:c r="A71" s="2"/>
      <x:c r="B71" s="2"/>
      <x:c r="C71" s="2"/>
      <x:c r="D71" s="2"/>
    </x:row>
    <x:row r="72">
      <x:c r="A72" s="2"/>
      <x:c r="B72" s="2"/>
      <x:c r="C72" s="2"/>
      <x:c r="D72" s="2"/>
    </x:row>
    <x:row r="73">
      <x:c r="A73" s="2"/>
      <x:c r="B73" s="2"/>
      <x:c r="C73" s="2"/>
      <x:c r="D73" s="2"/>
    </x:row>
    <x:row r="74">
      <x:c r="A74" s="2"/>
      <x:c r="B74" s="2"/>
      <x:c r="C74" s="2"/>
      <x:c r="D74" s="2"/>
    </x:row>
    <x:row r="75">
      <x:c r="A75" s="2"/>
      <x:c r="B75" s="2"/>
      <x:c r="C75" s="2"/>
      <x:c r="D75" s="2"/>
    </x:row>
    <x:row r="76">
      <x:c r="A76" s="2"/>
      <x:c r="B76" s="2"/>
      <x:c r="C76" s="2"/>
      <x:c r="D76" s="2"/>
    </x:row>
    <x:row r="77">
      <x:c r="A77" s="2"/>
      <x:c r="B77" s="2"/>
      <x:c r="C77" s="2"/>
      <x:c r="D77" s="2"/>
    </x:row>
    <x:row r="78">
      <x:c r="A78" s="2"/>
      <x:c r="B78" s="2"/>
      <x:c r="C78" s="2"/>
      <x:c r="D78" s="2"/>
    </x:row>
    <x:row r="79">
      <x:c r="A79" s="2"/>
      <x:c r="B79" s="2"/>
      <x:c r="C79" s="2"/>
      <x:c r="D79" s="2"/>
    </x:row>
    <x:row r="80">
      <x:c r="A80" s="2"/>
      <x:c r="B80" s="2"/>
      <x:c r="C80" s="2"/>
      <x:c r="D80" s="2"/>
    </x:row>
  </x:sheetData>
  <x:pageMargins left="0.7" right="0.7" top="0.75" bottom="0.75" header="0.3" footer="0.3"/>
  <x:tableParts count="4">
    <x:tablePart xmlns:r="http://schemas.openxmlformats.org/officeDocument/2006/relationships" r:id="Rcb767fc3cf264a5a"/>
    <x:tablePart xmlns:r="http://schemas.openxmlformats.org/officeDocument/2006/relationships" r:id="R2794e1cc1740450b"/>
    <x:tablePart xmlns:r="http://schemas.openxmlformats.org/officeDocument/2006/relationships" r:id="R0d8fc8b96ca24b80"/>
    <x:tablePart xmlns:r="http://schemas.openxmlformats.org/officeDocument/2006/relationships" r:id="Rca6528b3478c404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26" hidden="0" customWidth="1"/>
    <x:col min="3" max="3" width="54" hidden="0" customWidth="1"/>
    <x:col min="4" max="4" width="30" hidden="0" customWidth="1"/>
    <x:col min="5" max="5" width="27" hidden="0" customWidth="1"/>
    <x:col min="6" max="6" width="51" hidden="0" customWidth="1"/>
  </x:cols>
  <x:sheetData>
    <x:row r="1">
      <x:c r="A1" s="2"/>
      <x:c r="B1" s="2"/>
      <x:c r="C1" s="2"/>
      <x:c r="D1" s="2"/>
      <x:c r="E1" s="2"/>
      <x:c r="F1" s="2"/>
    </x:row>
    <x:row r="2" ht="30" customHeight="1">
      <x:c r="A2" s="3" t="str">
        <x:v>이해관계자 식별</x:v>
      </x:c>
      <x:c r="B2" s="2"/>
      <x:c r="C2" s="2"/>
      <x:c r="D2" s="2"/>
      <x:c r="E2" s="2"/>
      <x:c r="F2" s="2"/>
    </x:row>
    <x:row r="3" ht="25" customHeight="1">
      <x:c r="A3" s="4" t="str">
        <x:v>팀 내부 역할은 역할분담 보고서 기준 · 게임사 활용자 역할은 참여 확정이 아닌 가정</x:v>
      </x:c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32" customHeight="1">
      <x:c r="A5" s="8" t="str">
        <x:v>구분</x:v>
      </x:c>
      <x:c r="B5" s="8" t="str">
        <x:v>이해관계자</x:v>
      </x:c>
      <x:c r="C5" s="8" t="str">
        <x:v>역할/책임</x:v>
      </x:c>
      <x:c r="D5" s="8" t="str">
        <x:v>요구사항 출처</x:v>
      </x:c>
      <x:c r="E5" s="8" t="str">
        <x:v>협업 역할</x:v>
      </x:c>
      <x:c r="F5" s="8" t="str">
        <x:v>비고</x:v>
      </x:c>
    </x:row>
    <x:row r="6" ht="34" customHeight="1">
      <x:c r="A6" s="10" t="str">
        <x:v>내부</x:v>
      </x:c>
      <x:c r="B6" s="10" t="str">
        <x:v>장성희 | AI 기획·문제정의</x:v>
      </x:c>
      <x:c r="C6" s="10" t="str">
        <x:v>AI 기획·문제정의, 요구사항정의서 작성 책임, 발표 전체 흐름과 기획·문제정의 설명</x:v>
      </x:c>
      <x:c r="D6" s="10" t="str">
        <x:v>역할분담 보고서 §2~3; 기획 §1·6·9; 강의 Day05</x:v>
      </x:c>
      <x:c r="E6" s="10" t="str">
        <x:v>전체</x:v>
      </x:c>
      <x:c r="F6" s="10" t="str">
        <x:v>역할 배분 완료. 팀장 안효원: 일정·진행 관리, 협업 조정, 산출물 통합 점검</x:v>
      </x:c>
    </x:row>
    <x:row r="7" ht="34" customHeight="1">
      <x:c r="A7" s="9" t="str">
        <x:v>주 활용자</x:v>
      </x:c>
      <x:c r="B7" s="9" t="str">
        <x:v>게임 운영 담당자</x:v>
      </x:c>
      <x:c r="C7" s="9" t="str">
        <x:v>위험 유저 검토와 관리 우선순위 선정</x:v>
      </x:c>
      <x:c r="D7" s="9" t="str">
        <x:v>기획 §3~5</x:v>
      </x:c>
      <x:c r="E7" s="9" t="str">
        <x:v>기획·분석</x:v>
      </x:c>
      <x:c r="F7" s="9" t="str">
        <x:v>서비스 활용 대상으로 설정한 역할. 게임 운영 담당자 인터뷰 일정 없음</x:v>
      </x:c>
    </x:row>
    <x:row r="8" ht="34" customHeight="1">
      <x:c r="A8" s="10" t="str">
        <x:v>협업 활용자</x:v>
      </x:c>
      <x:c r="B8" s="10" t="str">
        <x:v>데이터 분석 담당자</x:v>
      </x:c>
      <x:c r="C8" s="10" t="str">
        <x:v>성능·오류·집단별 특성 해석</x:v>
      </x:c>
      <x:c r="D8" s="10" t="str">
        <x:v>기획 §3·10</x:v>
      </x:c>
      <x:c r="E8" s="10" t="str">
        <x:v>운영·모델</x:v>
      </x:c>
      <x:c r="F8" s="10" t="str">
        <x:v>게임사 역할 가정</x:v>
      </x:c>
    </x:row>
    <x:row r="9" ht="34" customHeight="1">
      <x:c r="A9" s="9" t="str">
        <x:v>추가 활용자</x:v>
      </x:c>
      <x:c r="B9" s="9" t="str">
        <x:v>마케팅·CRM 담당자</x:v>
      </x:c>
      <x:c r="C9" s="9" t="str">
        <x:v>후속 유지 캠페인 실험 대상 참고</x:v>
      </x:c>
      <x:c r="D9" s="9" t="str">
        <x:v>기획 §3·14</x:v>
      </x:c>
      <x:c r="E9" s="9" t="str">
        <x:v>운영</x:v>
      </x:c>
      <x:c r="F9" s="9" t="str">
        <x:v>실제 캠페인 실행은 범위 제외</x:v>
      </x:c>
    </x:row>
    <x:row r="10" ht="42" customHeight="1">
      <x:c r="A10" s="10" t="str">
        <x:v>분석 대상</x:v>
      </x:c>
      <x:c r="B10" s="10" t="str">
        <x:v>수집된 LoL 플레이어 표본</x:v>
      </x:c>
      <x:c r="C10" s="10" t="str">
        <x:v>관찰·예측 기간의 경기 기록 제공 대상</x:v>
      </x:c>
      <x:c r="D10" s="10" t="str">
        <x:v>팀 수집 데이터; 수집1; 사용자 확인 요청 반영</x:v>
      </x:c>
      <x:c r="E10" s="10" t="str">
        <x:v>수집·전처리</x:v>
      </x:c>
      <x:c r="F10" s="10" t="str">
        <x:v>서버 범위는 실제 수집 설정 확인 후 확정. 직접 요구사항 요청자 또는 인터뷰 참여자로 가정하지 않음</x:v>
      </x:c>
    </x:row>
    <x:row r="11" ht="110" customHeight="1">
      <x:c r="A11" s="9" t="str">
        <x:v>내부</x:v>
      </x:c>
      <x:c r="B11" s="9" t="str">
        <x:v>팀원 4명(각자 API Key)</x:v>
      </x:c>
      <x:c r="C11" s="9" t="str">
        <x:v>팀원 4명 각자 self-seed 수집. 신기범: 데이터 전처리·RDB 설계·데이터정의서 및 공동 발표. 안효원: 산출물 통합 점검</x:v>
      </x:c>
      <x:c r="D11" s="9" t="str">
        <x:v>사용자 9/21; 수집1; 기획 §7·8</x:v>
      </x:c>
      <x:c r="E11" s="9" t="str">
        <x:v>모델·검증</x:v>
      </x:c>
      <x:c r="F11" s="9" t="str">
        <x:v>team-id 1~4 사용, 수집 진행 중. 장반석: 서비스 설계·프로토타입·화면설계서 책임</x:v>
      </x:c>
    </x:row>
    <x:row r="12" ht="34" customHeight="1">
      <x:c r="A12" s="10" t="str">
        <x:v>내부</x:v>
      </x:c>
      <x:c r="B12" s="10" t="str">
        <x:v>4팀 공동 | 모델·검증</x:v>
      </x:c>
      <x:c r="C12" s="10" t="str">
        <x:v>네 명 공동 모델 실험·구현·검토. 안효원 통합 점검, 장성희 KPI·요구사항, 신기범 데이터·재현, 장반석 결과 표시 연계</x:v>
      </x:c>
      <x:c r="D12" s="10" t="str">
        <x:v>기획 §9~11</x:v>
      </x:c>
      <x:c r="E12" s="10" t="str">
        <x:v>데이터·문서</x:v>
      </x:c>
      <x:c r="F12" s="10" t="str">
        <x:v>역할분담 보고서 §6 기준. 모델별 세부 실험 담당은 보고서에서 별도 확정하지 않음</x:v>
      </x:c>
    </x:row>
    <x:row r="13" ht="34" customHeight="1">
      <x:c r="A13" s="9" t="str">
        <x:v>교육</x:v>
      </x:c>
      <x:c r="B13" s="9" t="str">
        <x:v>강사·평가자</x:v>
      </x:c>
      <x:c r="C13" s="9" t="str">
        <x:v>주제·산출물·범위 변경 적합성 확인</x:v>
      </x:c>
      <x:c r="D13" s="9" t="str">
        <x:v>사용자 산출물; 기획 §12</x:v>
      </x:c>
      <x:c r="E13" s="9" t="str">
        <x:v>팀 전체</x:v>
      </x:c>
      <x:c r="F13" s="9" t="str">
        <x:v>라벨 확보 실패 시 대체 범위 협의</x:v>
      </x:c>
    </x:row>
    <x:row r="14" ht="42" customHeight="1">
      <x:c r="A14" s="10" t="str">
        <x:v>외부 출처</x:v>
      </x:c>
      <x:c r="B14" s="10" t="str">
        <x:v>Riot·Mendeley·Kaggle 제공자</x:v>
      </x:c>
      <x:c r="C14" s="10" t="str">
        <x:v>API·공개 데이터·설명 문서 제공</x:v>
      </x:c>
      <x:c r="D14" s="10" t="str">
        <x:v>D1~D3; 시장8~10</x:v>
      </x:c>
      <x:c r="E14" s="10" t="str">
        <x:v>수집 담당</x:v>
      </x:c>
      <x:c r="F14" s="10" t="str">
        <x:v>공식 협업이나 프로젝트 승인을 의미하지 않음</x:v>
      </x:c>
    </x:row>
    <x:row r="15">
      <x:c r="A15" s="2"/>
      <x:c r="B15" s="2"/>
      <x:c r="C15" s="2"/>
      <x:c r="D15" s="2"/>
      <x:c r="E15" s="2"/>
      <x:c r="F15" s="2"/>
    </x:row>
    <x:row r="16">
      <x:c r="A16" s="2"/>
      <x:c r="B16" s="2"/>
      <x:c r="C16" s="2"/>
      <x:c r="D16" s="2"/>
      <x:c r="E16" s="2"/>
      <x:c r="F16" s="2"/>
    </x:row>
    <x:row r="17">
      <x:c r="A17" s="2"/>
      <x:c r="B17" s="2"/>
      <x:c r="C17" s="2"/>
      <x:c r="D17" s="2"/>
      <x:c r="E17" s="2"/>
      <x:c r="F17" s="2"/>
    </x:row>
    <x:row r="18">
      <x:c r="A18" s="2"/>
      <x:c r="B18" s="2"/>
      <x:c r="C18" s="2"/>
      <x:c r="D18" s="2"/>
      <x:c r="E18" s="2"/>
      <x:c r="F18" s="2"/>
    </x:row>
    <x:row r="19">
      <x:c r="A19" s="2"/>
      <x:c r="B19" s="2"/>
      <x:c r="C19" s="2"/>
      <x:c r="D19" s="2"/>
      <x:c r="E19" s="2"/>
      <x:c r="F19" s="2"/>
    </x:row>
    <x:row r="20">
      <x:c r="A20" s="2"/>
      <x:c r="B20" s="2"/>
      <x:c r="C20" s="2"/>
      <x:c r="D20" s="2"/>
      <x:c r="E20" s="2"/>
      <x:c r="F20" s="2"/>
    </x:row>
  </x:sheetData>
  <x:pageMargins left="0.7" right="0.7" top="0.75" bottom="0.75" header="0.3" footer="0.3"/>
  <x:tableParts count="1">
    <x:tablePart xmlns:r="http://schemas.openxmlformats.org/officeDocument/2006/relationships" r:id="R18ec8b23dd1a4a6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6" hidden="0" customWidth="1"/>
    <x:col min="2" max="2" width="17" hidden="0" customWidth="1"/>
    <x:col min="3" max="3" width="17" hidden="0" customWidth="1"/>
    <x:col min="4" max="4" width="25" hidden="0" customWidth="1"/>
    <x:col min="5" max="5" width="64" hidden="0" customWidth="1"/>
    <x:col min="6" max="6" width="12" hidden="0" customWidth="1"/>
    <x:col min="7" max="7" width="10" hidden="0" customWidth="1"/>
    <x:col min="8" max="8" width="12" hidden="0" customWidth="1"/>
    <x:col min="9" max="9" width="12" hidden="0" customWidth="1"/>
    <x:col min="10" max="10" width="28" hidden="0" customWidth="1"/>
    <x:col min="11" max="11" width="43" hidden="0" customWidth="1"/>
    <x:col min="12" max="12" width="13" hidden="0" customWidth="1"/>
    <x:col min="13" max="13" width="30" hidden="0" customWidth="1"/>
    <x:col min="14" max="14" width="12" hidden="0" customWidth="1"/>
    <x:col min="15" max="15" width="20" hidden="0" customWidth="1"/>
    <x:col min="16" max="16" width="16" hidden="0" customWidth="1"/>
    <x:col min="17" max="17" width="63" hidden="0" customWidth="1"/>
    <x:col min="18" max="18" width="2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30" customHeight="1">
      <x:c r="A2" s="3" t="str">
        <x:v>기능적 요구사항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5" customHeight="1">
      <x:c r="A3" s="4" t="str">
        <x:v>강의안의 13개 기본 열 유지 · 우선순위/담당/목표일/검증 기준/증빙 추가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32" customHeight="1">
      <x:c r="A5" s="8" t="str">
        <x:v>NO</x:v>
      </x:c>
      <x:c r="B5" s="8" t="str">
        <x:v>요구사항No(Main)</x:v>
      </x:c>
      <x:c r="C5" s="8" t="str">
        <x:v>요구사항No(Sub)</x:v>
      </x:c>
      <x:c r="D5" s="8" t="str">
        <x:v>요구사항명</x:v>
      </x:c>
      <x:c r="E5" s="8" t="str">
        <x:v>상세 요구사항 정의</x:v>
      </x:c>
      <x:c r="F5" s="8" t="str">
        <x:v>유형</x:v>
      </x:c>
      <x:c r="G5" s="8" t="str">
        <x:v>구분</x:v>
      </x:c>
      <x:c r="H5" s="8" t="str">
        <x:v>도출단계</x:v>
      </x:c>
      <x:c r="I5" s="8" t="str">
        <x:v>상태</x:v>
      </x:c>
      <x:c r="J5" s="8" t="str">
        <x:v>출처</x:v>
      </x:c>
      <x:c r="K5" s="8" t="str">
        <x:v>제약사항</x:v>
      </x:c>
      <x:c r="L5" s="8" t="str">
        <x:v>수용여부</x:v>
      </x:c>
      <x:c r="M5" s="8" t="str">
        <x:v>변경내역</x:v>
      </x:c>
      <x:c r="N5" s="8" t="str">
        <x:v>우선순위</x:v>
      </x:c>
      <x:c r="O5" s="8" t="str">
        <x:v>담당 역할</x:v>
      </x:c>
      <x:c r="P5" s="8" t="str">
        <x:v>목표일(제안)</x:v>
      </x:c>
      <x:c r="Q5" s="8" t="str">
        <x:v>검증·수용 기준</x:v>
      </x:c>
      <x:c r="R5" s="8" t="str">
        <x:v>검증 결과·증빙</x:v>
      </x:c>
    </x:row>
    <x:row r="6" ht="42" customHeight="1">
      <x:c r="A6" s="10" t="n">
        <x:v>1</x:v>
      </x:c>
      <x:c r="B6" s="10" t="str">
        <x:v>RF-1.0</x:v>
      </x:c>
      <x:c r="C6" s="10" t="str">
        <x:v>RF-1.1</x:v>
      </x:c>
      <x:c r="D6" s="10" t="str">
        <x:v>자료 등록·출처 관리</x:v>
      </x:c>
      <x:c r="E6" s="10" t="str">
        <x:v>파일/API별 출처, 버전, 조회 시점, 행 수, 관찰 가능 기간을 기록하고 원본을 보존한다.</x:v>
      </x:c>
      <x:c r="F6" s="10" t="str">
        <x:v>기능성</x:v>
      </x:c>
      <x:c r="G6" s="10" t="str">
        <x:v>신규</x:v>
      </x:c>
      <x:c r="H6" s="10" t="str">
        <x:v>설계</x:v>
      </x:c>
      <x:c r="I6" s="13" t="str">
        <x:v>초안</x:v>
      </x:c>
      <x:c r="J6" s="10" t="str">
        <x:v>기획 §7; D1~D3</x:v>
      </x:c>
      <x:c r="K6" s="10" t="str">
        <x:v>파일 존재와 사용 가능한 학습 자료 확보는 구분한다.</x:v>
      </x:c>
      <x:c r="L6" s="13" t="str">
        <x:v>검토대기</x:v>
      </x:c>
      <x:c r="M6" s="10" t="str">
        <x:v>v0.2 기획 상세화</x:v>
      </x:c>
      <x:c r="N6" s="13" t="str">
        <x:v>필수</x:v>
      </x:c>
      <x:c r="O6" s="10" t="str">
        <x:v>신기범 · 팀 공동</x:v>
      </x:c>
      <x:c r="P6" s="11" t="n">
        <x:v>46286</x:v>
      </x:c>
      <x:c r="Q6" s="10" t="str">
        <x:v>원본 목록과 수집 메타데이터가 연결되고 원본을 덮어쓰지 않는다.</x:v>
      </x:c>
      <x:c r="R6" s="13" t="str">
        <x:v>미검증</x:v>
      </x:c>
    </x:row>
    <x:row r="7" ht="140" customHeight="1">
      <x:c r="A7" s="9" t="n">
        <x:v>2</x:v>
      </x:c>
      <x:c r="B7" s="9" t="str">
        <x:v>RF-1.0</x:v>
      </x:c>
      <x:c r="C7" s="9" t="str">
        <x:v>RF-1.2</x:v>
      </x:c>
      <x:c r="D7" s="9" t="str">
        <x:v>표본 확보·팀별 독립 수집</x:v>
      </x:c>
      <x:c r="E7" s="9" t="str">
        <x:v>팀원 4명이 각자 API Key로 self-seed 실행. SoloQ 시드 150명을 확보하고 기준일 이전 경기 참가자로 주요 모드 cohort 500명까지 확장. team-id·batch-id·base-dir·추출일·기준일·모집단을 기록.</x:v>
      </x:c>
      <x:c r="F7" s="9" t="str">
        <x:v>기능성</x:v>
      </x:c>
      <x:c r="G7" s="9" t="str">
        <x:v>신규</x:v>
      </x:c>
      <x:c r="H7" s="9" t="str">
        <x:v>설계</x:v>
      </x:c>
      <x:c r="I7" s="13" t="str">
        <x:v>구현중</x:v>
      </x:c>
      <x:c r="J7" s="9" t="str">
        <x:v>기획 v0.2; 수집1; 사용자 9/21</x:v>
      </x:c>
      <x:c r="K7" s="9" t="str">
        <x:v>랭크 시드·연결 참가자 표본 편향 및 팀·배치 중복 가능. PUUID 비교 가능성은 실제 결과로 검증</x:v>
      </x:c>
      <x:c r="L7" s="13" t="str">
        <x:v>검토대기</x:v>
      </x:c>
      <x:c r="M7" s="9" t="str">
        <x:v>v0.1 보완: self-seed 4인 수집 방식·검증 요건 반영</x:v>
      </x:c>
      <x:c r="N7" s="13" t="str">
        <x:v>필수</x:v>
      </x:c>
      <x:c r="O7" s="9" t="str">
        <x:v>팀원 4명 공동</x:v>
      </x:c>
      <x:c r="P7" s="12" t="n">
        <x:v>46286</x:v>
      </x:c>
      <x:c r="Q7" s="9" t="str">
        <x:v>각 팀 시드·cohort 파일과 설정 로그 확인. 목표/실제/고유 유저 수 구분. 4×500은 중복 제거 전 후보 규모이며 달성값 아님</x:v>
      </x:c>
      <x:c r="R7" s="13" t="str">
        <x:v>팀원 4명 수집 진행 중(사용자 확인). 개별 기능 동작·완료량·산출물 검증은 미확인</x:v>
      </x:c>
    </x:row>
    <x:row r="8" ht="42" customHeight="1">
      <x:c r="A8" s="10" t="n">
        <x:v>3</x:v>
      </x:c>
      <x:c r="B8" s="10" t="str">
        <x:v>RF-1.0</x:v>
      </x:c>
      <x:c r="C8" s="10" t="str">
        <x:v>RF-1.3</x:v>
      </x:c>
      <x:c r="D8" s="10" t="str">
        <x:v>대상 모드 고정</x:v>
      </x:c>
      <x:c r="E8" s="10" t="str">
        <x:v>RANKED SOLO/FLEX, NORMAL, ARAM 등 분석 모드의 queueId와 제외 모드를 명시한다.</x:v>
      </x:c>
      <x:c r="F8" s="10" t="str">
        <x:v>기능성</x:v>
      </x:c>
      <x:c r="G8" s="10" t="str">
        <x:v>신규</x:v>
      </x:c>
      <x:c r="H8" s="10" t="str">
        <x:v>설계</x:v>
      </x:c>
      <x:c r="I8" s="13" t="str">
        <x:v>초안</x:v>
      </x:c>
      <x:c r="J8" s="10" t="str">
        <x:v>기획 §6; 설계1; 시장9</x:v>
      </x:c>
      <x:c r="K8" s="10" t="str">
        <x:v>queueId 목록은 미확정. 기타 모드를 임의 포함하지 않는다.</x:v>
      </x:c>
      <x:c r="L8" s="13" t="str">
        <x:v>검토대기</x:v>
      </x:c>
      <x:c r="M8" s="10" t="str">
        <x:v>랭크 단독에서 주요 모드로 확대</x:v>
      </x:c>
      <x:c r="N8" s="13" t="str">
        <x:v>필수</x:v>
      </x:c>
      <x:c r="O8" s="10" t="str">
        <x:v>장성희 · 팀 공동</x:v>
      </x:c>
      <x:c r="P8" s="11" t="n">
        <x:v>46286</x:v>
      </x:c>
      <x:c r="Q8" s="10" t="str">
        <x:v>queueId 목록과 버전이 존재하며 학습·라벨·추론에서 동일하게 적용된다.</x:v>
      </x:c>
      <x:c r="R8" s="13" t="str">
        <x:v>미검증</x:v>
      </x:c>
    </x:row>
    <x:row r="9" ht="140" customHeight="1">
      <x:c r="A9" s="9" t="n">
        <x:v>4</x:v>
      </x:c>
      <x:c r="B9" s="9" t="str">
        <x:v>RF-1.0</x:v>
      </x:c>
      <x:c r="C9" s="9" t="str">
        <x:v>RF-1.4</x:v>
      </x:c>
      <x:c r="D9" s="9" t="str">
        <x:v>경기 목록·기간 수집</x:v>
      </x:c>
      <x:c r="E9" s="9" t="str">
        <x:v>03_user_match_ids.csv에 유저별 경기 목록을 저장. 입력 구간 [T-28일,T)과 라벨 구간 [T,T+30일)을 분리하고 대상 모드·페이지 누락·조회 종료 조건을 기록.</x:v>
      </x:c>
      <x:c r="F9" s="9" t="str">
        <x:v>기능성</x:v>
      </x:c>
      <x:c r="G9" s="9" t="str">
        <x:v>신규</x:v>
      </x:c>
      <x:c r="H9" s="9" t="str">
        <x:v>설계</x:v>
      </x:c>
      <x:c r="I9" s="13" t="str">
        <x:v>구현중</x:v>
      </x:c>
      <x:c r="J9" s="9" t="str">
        <x:v>기획 v0.2; 수집1; 사용자 9/21</x:v>
      </x:c>
      <x:c r="K9" s="9" t="str">
        <x:v>최근 N경기만으로 30일 무경기를 판정할 수 없다.</x:v>
      </x:c>
      <x:c r="L9" s="13" t="str">
        <x:v>검토대기</x:v>
      </x:c>
      <x:c r="M9" s="9" t="str">
        <x:v>v0.1 보완: self-seed 4인 수집 방식·검증 요건 반영</x:v>
      </x:c>
      <x:c r="N9" s="13" t="str">
        <x:v>필수</x:v>
      </x:c>
      <x:c r="O9" s="9" t="str">
        <x:v>팀원 4명 공동</x:v>
      </x:c>
      <x:c r="P9" s="12" t="n">
        <x:v>46286</x:v>
      </x:c>
      <x:c r="Q9" s="9" t="str">
        <x:v>최근 최대 30경기 상세 제한과 라벨 조회를 구분. 30일 라벨 전 기간 관찰 근거가 없는 유저는 미확정 처리</x:v>
      </x:c>
      <x:c r="R9" s="13" t="str">
        <x:v>팀원 4명 수집 진행 중(사용자 확인). 개별 기능 동작·완료량·산출물 검증은 미확인</x:v>
      </x:c>
    </x:row>
    <x:row r="10" ht="140" customHeight="1">
      <x:c r="A10" s="10" t="n">
        <x:v>5</x:v>
      </x:c>
      <x:c r="B10" s="10" t="str">
        <x:v>RF-1.0</x:v>
      </x:c>
      <x:c r="C10" s="10" t="str">
        <x:v>RF-1.5</x:v>
      </x:c>
      <x:c r="D10" s="10" t="str">
        <x:v>경기 상세·원본 추출</x:v>
      </x:c>
      <x:c r="E10" s="10" t="str">
        <x:v>05_raw_matches.csv에 대상 경기·참가자 원본 저장. 안내서의 최근 MAX 30경기 상세 수집 범위·정렬·경계 기준을 확인하고 유저·경기 단위 중복을 제거.</x:v>
      </x:c>
      <x:c r="F10" s="10" t="str">
        <x:v>기능성</x:v>
      </x:c>
      <x:c r="G10" s="10" t="str">
        <x:v>신규</x:v>
      </x:c>
      <x:c r="H10" s="10" t="str">
        <x:v>설계</x:v>
      </x:c>
      <x:c r="I10" s="13" t="str">
        <x:v>구현중</x:v>
      </x:c>
      <x:c r="J10" s="10" t="str">
        <x:v>기획 v0.2; 수집1; 사용자 9/21</x:v>
      </x:c>
      <x:c r="K10" s="10" t="str">
        <x:v>누락·오류를 무경기로 처리하지 않는다.</x:v>
      </x:c>
      <x:c r="L10" s="13" t="str">
        <x:v>검토대기</x:v>
      </x:c>
      <x:c r="M10" s="10" t="str">
        <x:v>v0.1 보완: self-seed 4인 수집 방식·검증 요건 반영</x:v>
      </x:c>
      <x:c r="N10" s="13" t="str">
        <x:v>필수</x:v>
      </x:c>
      <x:c r="O10" s="10" t="str">
        <x:v>팀원 4명 공동</x:v>
      </x:c>
      <x:c r="P10" s="11" t="n">
        <x:v>46286</x:v>
      </x:c>
      <x:c r="Q10" s="10" t="str">
        <x:v>유저별 경기 시각·queueId·중복 확인. MAX 30경기만으로 28일 전체 집계가 가능한지 점검하고 부족하면 추가 수집 또는 피처 범위 명시</x:v>
      </x:c>
      <x:c r="R10" s="13" t="str">
        <x:v>팀원 4명 수집 진행 중(사용자 확인). 개별 기능 동작·완료량·산출물 검증은 미확인</x:v>
      </x:c>
    </x:row>
    <x:row r="11" ht="140" customHeight="1">
      <x:c r="A11" s="9" t="n">
        <x:v>6</x:v>
      </x:c>
      <x:c r="B11" s="9" t="str">
        <x:v>RF-1.0</x:v>
      </x:c>
      <x:c r="C11" s="9" t="str">
        <x:v>RF-1.6</x:v>
      </x:c>
      <x:c r="D11" s="9" t="str">
        <x:v>수집 재개·배치 통합</x:v>
      </x:c>
      <x:c r="E11" s="9" t="str">
        <x:v>팀별 별도 폴더와 체크포인트를 유지. 같은 명령·base-dir로 재개하고 추가 배치는 batch-id·폴더를 변경. 통합 시 team-id·batch-id 출처를 보존하고 식별자 비교 가능성 및 중복을 검증.</x:v>
      </x:c>
      <x:c r="F11" s="9" t="str">
        <x:v>기능성</x:v>
      </x:c>
      <x:c r="G11" s="9" t="str">
        <x:v>신규</x:v>
      </x:c>
      <x:c r="H11" s="9" t="str">
        <x:v>설계</x:v>
      </x:c>
      <x:c r="I11" s="13" t="str">
        <x:v>구현중</x:v>
      </x:c>
      <x:c r="J11" s="9" t="str">
        <x:v>기획 v0.2; 수집1; 사용자 9/21</x:v>
      </x:c>
      <x:c r="K11" s="9" t="str">
        <x:v>키 만료·호출 제한·서버 오류를 구분한다.</x:v>
      </x:c>
      <x:c r="L11" s="13" t="str">
        <x:v>검토대기</x:v>
      </x:c>
      <x:c r="M11" s="9" t="str">
        <x:v>v0.1 보완: self-seed 4인 수집 방식·검증 요건 반영</x:v>
      </x:c>
      <x:c r="N11" s="13" t="str">
        <x:v>필수</x:v>
      </x:c>
      <x:c r="O11" s="9" t="str">
        <x:v>팀원 4명 공동</x:v>
      </x:c>
      <x:c r="P11" s="12" t="n">
        <x:v>46286</x:v>
      </x:c>
      <x:c r="Q11" s="9" t="str">
        <x:v>중단 후 재개 기록, 오류·미완료 목록, 통합 전후 행 수·고유 유저 수·중복 수 대조. API Key 값은 로그·결과물 제외</x:v>
      </x:c>
      <x:c r="R11" s="13" t="str">
        <x:v>팀원 4명 수집 진행 중(사용자 확인). 개별 기능 동작·완료량·산출물 검증은 미확인</x:v>
      </x:c>
    </x:row>
    <x:row r="12" ht="140" customHeight="1">
      <x:c r="A12" s="10" t="n">
        <x:v>7</x:v>
      </x:c>
      <x:c r="B12" s="10" t="str">
        <x:v>RF-2.0</x:v>
      </x:c>
      <x:c r="C12" s="10" t="str">
        <x:v>RF-2.1</x:v>
      </x:c>
      <x:c r="D12" s="10" t="str">
        <x:v>데이터 사전·산출물 품질</x:v>
      </x:c>
      <x:c r="E12" s="10" t="str">
        <x:v>수집 CSV·Excel의 스키마·타입·결측·중복·범위와 파일 간 연결 키를 검증. 팀별 실행 설정과 기준일의 일치 여부를 점검하고 데이터 사전과 병합 통계를 작성.</x:v>
      </x:c>
      <x:c r="F12" s="10" t="str">
        <x:v>기능성</x:v>
      </x:c>
      <x:c r="G12" s="10" t="str">
        <x:v>신규</x:v>
      </x:c>
      <x:c r="H12" s="10" t="str">
        <x:v>설계</x:v>
      </x:c>
      <x:c r="I12" s="13" t="str">
        <x:v>초안</x:v>
      </x:c>
      <x:c r="J12" s="10" t="str">
        <x:v>기획 v0.2; 수집1; 사용자 9/21</x:v>
      </x:c>
      <x:c r="K12" s="10" t="str">
        <x:v>컬럼 문서는 처리 제안이며 공식 정의 확정 자료가 아니다.</x:v>
      </x:c>
      <x:c r="L12" s="13" t="str">
        <x:v>검토대기</x:v>
      </x:c>
      <x:c r="M12" s="10" t="str">
        <x:v>v0.1 보완: self-seed 4인 수집 방식·검증 요건 반영</x:v>
      </x:c>
      <x:c r="N12" s="13" t="str">
        <x:v>필수</x:v>
      </x:c>
      <x:c r="O12" s="10" t="str">
        <x:v>신기범 · 팀 공동</x:v>
      </x:c>
      <x:c r="P12" s="11" t="n">
        <x:v>46286</x:v>
      </x:c>
      <x:c r="Q12" s="10" t="str">
        <x:v>01~07 CSV와 LOL_CHURN_DATASET.xlsx의 생성·행 수·키 연결 확인. 25.csv는 용도 확인 전 학습 입력에서 제외</x:v>
      </x:c>
      <x:c r="R12" s="13" t="str">
        <x:v>미검증</x:v>
      </x:c>
    </x:row>
    <x:row r="13" ht="57" customHeight="1">
      <x:c r="A13" s="9" t="n">
        <x:v>8</x:v>
      </x:c>
      <x:c r="B13" s="9" t="str">
        <x:v>RF-2.0</x:v>
      </x:c>
      <x:c r="C13" s="9" t="str">
        <x:v>RF-2.2</x:v>
      </x:c>
      <x:c r="D13" s="9" t="str">
        <x:v>Mendeley 처리</x:v>
      </x:c>
      <x:c r="E13" s="9" t="str">
        <x:v>승패 문자열을 분리하고 시간 단위·시즌 결측·포지션 깨짐을 확인한다. CASE·DATE 입력 제외와 WIN DUMMY 중복 제거안을 검토한다.</x:v>
      </x:c>
      <x:c r="F13" s="9" t="str">
        <x:v>기능성</x:v>
      </x:c>
      <x:c r="G13" s="9" t="str">
        <x:v>신규</x:v>
      </x:c>
      <x:c r="H13" s="9" t="str">
        <x:v>설계</x:v>
      </x:c>
      <x:c r="I13" s="13" t="str">
        <x:v>초안</x:v>
      </x:c>
      <x:c r="J13" s="9" t="str">
        <x:v>기획 §8.2~8.4; 설계2</x:v>
      </x:c>
      <x:c r="K13" s="9" t="str">
        <x:v>AVSCORE를 KDA로 단정하지 않고 팀원을 친구·듀오로 단정하지 않는다.</x:v>
      </x:c>
      <x:c r="L13" s="13" t="str">
        <x:v>검토대기</x:v>
      </x:c>
      <x:c r="M13" s="9" t="str">
        <x:v>v0.2 기획 상세화</x:v>
      </x:c>
      <x:c r="N13" s="13" t="str">
        <x:v>필수</x:v>
      </x:c>
      <x:c r="O13" s="9" t="str">
        <x:v>신기범 · 팀 공동</x:v>
      </x:c>
      <x:c r="P13" s="12" t="n">
        <x:v>46286</x:v>
      </x:c>
      <x:c r="Q13" s="9" t="str">
        <x:v>28개 컬럼의 처리안, 실제 확인 결과, 채택 여부가 구분된다.</x:v>
      </x:c>
      <x:c r="R13" s="13" t="str">
        <x:v>미검증</x:v>
      </x:c>
    </x:row>
    <x:row r="14" ht="42" customHeight="1">
      <x:c r="A14" s="10" t="n">
        <x:v>9</x:v>
      </x:c>
      <x:c r="B14" s="10" t="str">
        <x:v>RF-2.0</x:v>
      </x:c>
      <x:c r="C14" s="10" t="str">
        <x:v>RF-2.3</x:v>
      </x:c>
      <x:c r="D14" s="10" t="str">
        <x:v>시각·경계 통일</x:v>
      </x:c>
      <x:c r="E14" s="10" t="str">
        <x:v>기준일 T와 시간대를 고정한다. 구현 제안은 입력 [T-28일,T), 라벨 [T,T+30일)이다.</x:v>
      </x:c>
      <x:c r="F14" s="10" t="str">
        <x:v>기능성</x:v>
      </x:c>
      <x:c r="G14" s="10" t="str">
        <x:v>신규</x:v>
      </x:c>
      <x:c r="H14" s="10" t="str">
        <x:v>설계</x:v>
      </x:c>
      <x:c r="I14" s="13" t="str">
        <x:v>초안</x:v>
      </x:c>
      <x:c r="J14" s="10" t="str">
        <x:v>기획 §6·8; 구현 제안</x:v>
      </x:c>
      <x:c r="K14" s="10" t="str">
        <x:v>API 조회 경계와 내부 필터 경계를 검증한다.</x:v>
      </x:c>
      <x:c r="L14" s="13" t="str">
        <x:v>검토대기</x:v>
      </x:c>
      <x:c r="M14" s="10" t="str">
        <x:v>v0.2 기획 상세화</x:v>
      </x:c>
      <x:c r="N14" s="13" t="str">
        <x:v>필수</x:v>
      </x:c>
      <x:c r="O14" s="10" t="str">
        <x:v>신기범 · 팀 공동</x:v>
      </x:c>
      <x:c r="P14" s="11" t="n">
        <x:v>46286</x:v>
      </x:c>
      <x:c r="Q14" s="10" t="str">
        <x:v>T 직전·T·T+30일 경계 사례에서 입력과 라벨 기간이 겹치지 않는다.</x:v>
      </x:c>
      <x:c r="R14" s="13" t="str">
        <x:v>미검증</x:v>
      </x:c>
    </x:row>
    <x:row r="15" ht="140" customHeight="1">
      <x:c r="A15" s="9" t="n">
        <x:v>10</x:v>
      </x:c>
      <x:c r="B15" s="9" t="str">
        <x:v>RF-2.0</x:v>
      </x:c>
      <x:c r="C15" s="9" t="str">
        <x:v>RF-2.4</x:v>
      </x:c>
      <x:c r="D15" s="9" t="str">
        <x:v>기간 집계·변화량</x:v>
      </x:c>
      <x:c r="E15" s="9" t="str">
        <x:v>06_ml_features.csv의 관찰 28일 집계·14일 변화량·최근성·경기 간격·성과 피처를 검증. MAX 30경기 제한으로 누락된 이력이 있으면 전체기간 집계로 오표기하지 않음.</x:v>
      </x:c>
      <x:c r="F15" s="9" t="str">
        <x:v>기능성</x:v>
      </x:c>
      <x:c r="G15" s="9" t="str">
        <x:v>신규</x:v>
      </x:c>
      <x:c r="H15" s="9" t="str">
        <x:v>설계</x:v>
      </x:c>
      <x:c r="I15" s="13" t="str">
        <x:v>초안</x:v>
      </x:c>
      <x:c r="J15" s="9" t="str">
        <x:v>기획 v0.2; 수집1; 사용자 9/21</x:v>
      </x:c>
      <x:c r="K15" s="9" t="str">
        <x:v>분모 0, 경기 1회, 모드별 포지션 차이를 별도 처리한다.</x:v>
      </x:c>
      <x:c r="L15" s="13" t="str">
        <x:v>검토대기</x:v>
      </x:c>
      <x:c r="M15" s="9" t="str">
        <x:v>v0.1 보완: self-seed 4인 수집 방식·검증 요건 반영</x:v>
      </x:c>
      <x:c r="N15" s="13" t="str">
        <x:v>필수</x:v>
      </x:c>
      <x:c r="O15" s="9" t="str">
        <x:v>신기범 · 팀 공동</x:v>
      </x:c>
      <x:c r="P15" s="12" t="n">
        <x:v>46286</x:v>
      </x:c>
      <x:c r="Q15" s="9" t="str">
        <x:v>피처 산식·기간·분모·단위 확인. 전체 28일 집계와 최근 최대30경기 집계를 구분하고 부족 이력 보완 또는 제한 보고</x:v>
      </x:c>
      <x:c r="R15" s="13" t="str">
        <x:v>미검증</x:v>
      </x:c>
    </x:row>
    <x:row r="16" ht="140" customHeight="1">
      <x:c r="A16" s="10" t="n">
        <x:v>11</x:v>
      </x:c>
      <x:c r="B16" s="10" t="str">
        <x:v>RF-2.0</x:v>
      </x:c>
      <x:c r="C16" s="10" t="str">
        <x:v>RF-2.5</x:v>
      </x:c>
      <x:c r="D16" s="10" t="str">
        <x:v>최근 경기 시퀀스</x:v>
      </x:c>
      <x:c r="E16" s="10" t="str">
        <x:v>07_transformer_sequence.csv를 시각순 정렬하고 queueId를 유지. 수집 안내서 상한 MAX 30경기와 모델 입력 길이 N을 구분. T 이전 28일 내 이력만 사용하고 패딩·마스킹을 기록.</x:v>
      </x:c>
      <x:c r="F16" s="10" t="str">
        <x:v>기능성</x:v>
      </x:c>
      <x:c r="G16" s="10" t="str">
        <x:v>신규</x:v>
      </x:c>
      <x:c r="H16" s="10" t="str">
        <x:v>설계</x:v>
      </x:c>
      <x:c r="I16" s="13" t="str">
        <x:v>초안</x:v>
      </x:c>
      <x:c r="J16" s="10" t="str">
        <x:v>기획 v0.2; 수집1; 사용자 9/21</x:v>
      </x:c>
      <x:c r="K16" s="10" t="str">
        <x:v>MAX 30은 수집 상한. 최종 N과 Transformer 수행 여부는 별도 확정</x:v>
      </x:c>
      <x:c r="L16" s="13" t="str">
        <x:v>검토대기</x:v>
      </x:c>
      <x:c r="M16" s="10" t="str">
        <x:v>v0.1 보완: self-seed 4인 수집 방식·검증 요건 반영</x:v>
      </x:c>
      <x:c r="N16" s="13" t="str">
        <x:v>필수</x:v>
      </x:c>
      <x:c r="O16" s="10" t="str">
        <x:v>신기범 · 팀 공동</x:v>
      </x:c>
      <x:c r="P16" s="11" t="n">
        <x:v>46287</x:v>
      </x:c>
      <x:c r="Q16" s="10" t="str">
        <x:v>시퀀스 시각·길이·순서·패딩 검증. 짧은 이력을 미래 경기로 보충하지 않음. Transformer 학습은 자료·자원 확보 시 선택</x:v>
      </x:c>
      <x:c r="R16" s="13" t="str">
        <x:v>미검증</x:v>
      </x:c>
    </x:row>
    <x:row r="17" ht="140" customHeight="1">
      <x:c r="A17" s="9" t="n">
        <x:v>12</x:v>
      </x:c>
      <x:c r="B17" s="9" t="str">
        <x:v>RF-2.0</x:v>
      </x:c>
      <x:c r="C17" s="9" t="str">
        <x:v>RF-2.6</x:v>
      </x:c>
      <x:c r="D17" s="9" t="str">
        <x:v>30일 라벨 생성</x:v>
      </x:c>
      <x:c r="E17" s="9" t="str">
        <x:v>04_targets.csv의 기준일 T 이후 30일 주요 모드 무경기 여부와 수집 완전성을 검증. 관찰 완료 시 무경기 1·참여 0, 누락·관찰 미완료는 미확정으로 구분.</x:v>
      </x:c>
      <x:c r="F17" s="9" t="str">
        <x:v>기능성</x:v>
      </x:c>
      <x:c r="G17" s="9" t="str">
        <x:v>신규</x:v>
      </x:c>
      <x:c r="H17" s="9" t="str">
        <x:v>설계</x:v>
      </x:c>
      <x:c r="I17" s="13" t="str">
        <x:v>초안</x:v>
      </x:c>
      <x:c r="J17" s="9" t="str">
        <x:v>기획 v0.2; 수집1; 사용자 9/21</x:v>
      </x:c>
      <x:c r="K17" s="9" t="str">
        <x:v>30일은 프로젝트 설계안이며 Riot 공식 기준이 아니다.</x:v>
      </x:c>
      <x:c r="L17" s="13" t="str">
        <x:v>검토대기</x:v>
      </x:c>
      <x:c r="M17" s="9" t="str">
        <x:v>v0.1 보완: self-seed 4인 수집 방식·검증 요건 반영</x:v>
      </x:c>
      <x:c r="N17" s="13" t="str">
        <x:v>필수</x:v>
      </x:c>
      <x:c r="O17" s="9" t="str">
        <x:v>신기범 · 팀 공동</x:v>
      </x:c>
      <x:c r="P17" s="12" t="n">
        <x:v>46286</x:v>
      </x:c>
      <x:c r="Q17" s="9" t="str">
        <x:v>타깃 파일 생성만으로 라벨 확정하지 않음. 전 기간·대상 모드 조회 증빙, 경계 사례와 수집 실패 사례 확인</x:v>
      </x:c>
      <x:c r="R17" s="13" t="str">
        <x:v>미검증</x:v>
      </x:c>
    </x:row>
    <x:row r="18" ht="42" customHeight="1">
      <x:c r="A18" s="10" t="n">
        <x:v>13</x:v>
      </x:c>
      <x:c r="B18" s="10" t="str">
        <x:v>RF-2.0</x:v>
      </x:c>
      <x:c r="C18" s="10" t="str">
        <x:v>RF-2.7</x:v>
      </x:c>
      <x:c r="D18" s="10" t="str">
        <x:v>라벨 검증·학습 대상 분리</x:v>
      </x:c>
      <x:c r="E18" s="10" t="str">
        <x:v>라벨 미확정 사례를 학습에서 분리하고 라벨별 수·비율, 제외 사유, 수집 완전성 근거를 저장한다.</x:v>
      </x:c>
      <x:c r="F18" s="10" t="str">
        <x:v>기능성</x:v>
      </x:c>
      <x:c r="G18" s="10" t="str">
        <x:v>신규</x:v>
      </x:c>
      <x:c r="H18" s="10" t="str">
        <x:v>설계</x:v>
      </x:c>
      <x:c r="I18" s="13" t="str">
        <x:v>초안</x:v>
      </x:c>
      <x:c r="J18" s="10" t="str">
        <x:v>기획 §6·8; 시장7(간접)</x:v>
      </x:c>
      <x:c r="K18" s="10" t="str">
        <x:v>현재 비활동 분류를 미래 이탈 예측으로 대체하지 않는다.</x:v>
      </x:c>
      <x:c r="L18" s="13" t="str">
        <x:v>검토대기</x:v>
      </x:c>
      <x:c r="M18" s="10" t="str">
        <x:v>v0.2 기획 상세화</x:v>
      </x:c>
      <x:c r="N18" s="13" t="str">
        <x:v>필수</x:v>
      </x:c>
      <x:c r="O18" s="10" t="str">
        <x:v>신기범 · 팀 공동</x:v>
      </x:c>
      <x:c r="P18" s="11" t="n">
        <x:v>46287</x:v>
      </x:c>
      <x:c r="Q18" s="10" t="str">
        <x:v>학습 자료의 모든 행에 검증된 라벨과 완료 근거가 있고 미확정 혼입 0건이다.</x:v>
      </x:c>
      <x:c r="R18" s="13" t="str">
        <x:v>미검증</x:v>
      </x:c>
    </x:row>
    <x:row r="19" ht="42" customHeight="1">
      <x:c r="A19" s="9" t="n">
        <x:v>14</x:v>
      </x:c>
      <x:c r="B19" s="9" t="str">
        <x:v>RF-3.0</x:v>
      </x:c>
      <x:c r="C19" s="9" t="str">
        <x:v>RF-3.1</x:v>
      </x:c>
      <x:c r="D19" s="9" t="str">
        <x:v>시간순 분할</x:v>
      </x:c>
      <x:c r="E19" s="9" t="str">
        <x:v>학습·검증·시험을 시간순 분리하고 앞 구간의 30일 라벨 기간이 다음 평가 기준일을 침범하지 않도록 한다.</x:v>
      </x:c>
      <x:c r="F19" s="9" t="str">
        <x:v>기능성</x:v>
      </x:c>
      <x:c r="G19" s="9" t="str">
        <x:v>신규</x:v>
      </x:c>
      <x:c r="H19" s="9" t="str">
        <x:v>설계</x:v>
      </x:c>
      <x:c r="I19" s="13" t="str">
        <x:v>초안</x:v>
      </x:c>
      <x:c r="J19" s="9" t="str">
        <x:v>기획 §10</x:v>
      </x:c>
      <x:c r="K19" s="9" t="str">
        <x:v>반복 유저가 있으면 공개하고 신규 유저 일반화 평가는 별도 분리한다.</x:v>
      </x:c>
      <x:c r="L19" s="13" t="str">
        <x:v>검토대기</x:v>
      </x:c>
      <x:c r="M19" s="9" t="str">
        <x:v>v0.2 기획 상세화</x:v>
      </x:c>
      <x:c r="N19" s="13" t="str">
        <x:v>필수</x:v>
      </x:c>
      <x:c r="O19" s="9" t="str">
        <x:v>팀 공동</x:v>
      </x:c>
      <x:c r="P19" s="12" t="n">
        <x:v>46287</x:v>
      </x:c>
      <x:c r="Q19" s="9" t="str">
        <x:v>분할 경계·유저 중복·누수 점검표를 저장한다.</x:v>
      </x:c>
      <x:c r="R19" s="13" t="str">
        <x:v>미검증</x:v>
      </x:c>
    </x:row>
    <x:row r="20" ht="140" customHeight="1">
      <x:c r="A20" s="10" t="n">
        <x:v>15</x:v>
      </x:c>
      <x:c r="B20" s="10" t="str">
        <x:v>RF-3.0</x:v>
      </x:c>
      <x:c r="C20" s="10" t="str">
        <x:v>RF-3.2</x:v>
      </x:c>
      <x:c r="D20" s="10" t="str">
        <x:v>기준선·머신러닝</x:v>
      </x:c>
      <x:c r="E20" s="10" t="str">
        <x:v>최근성 기준선과 기존 ML 비교 계획을 유지. 06_ml_features.csv는 안내서상 CatBoost/LightGBM 입력 후보로 사용하되 누수·타입·기간 검증 후 학습.</x:v>
      </x:c>
      <x:c r="F20" s="10" t="str">
        <x:v>기능성</x:v>
      </x:c>
      <x:c r="G20" s="10" t="str">
        <x:v>신규</x:v>
      </x:c>
      <x:c r="H20" s="10" t="str">
        <x:v>설계</x:v>
      </x:c>
      <x:c r="I20" s="13" t="str">
        <x:v>초안</x:v>
      </x:c>
      <x:c r="J20" s="10" t="str">
        <x:v>기획 v0.2; 수집1; 사용자 9/21</x:v>
      </x:c>
      <x:c r="K20" s="10" t="str">
        <x:v>학습 데이터에서만 전처리를 적합한다.</x:v>
      </x:c>
      <x:c r="L20" s="13" t="str">
        <x:v>검토대기</x:v>
      </x:c>
      <x:c r="M20" s="10" t="str">
        <x:v>v0.1 보완: self-seed 4인 수집 방식·검증 요건 반영</x:v>
      </x:c>
      <x:c r="N20" s="13" t="str">
        <x:v>필수</x:v>
      </x:c>
      <x:c r="O20" s="10" t="str">
        <x:v>팀 공동</x:v>
      </x:c>
      <x:c r="P20" s="11" t="n">
        <x:v>46289</x:v>
      </x:c>
      <x:c r="Q20" s="10" t="str">
        <x:v>같은 시간 분할·평가 표본으로 기준선과 모델 비교. 저장된 학습 설정·피처 목록·모델 결과 확인</x:v>
      </x:c>
      <x:c r="R20" s="13" t="str">
        <x:v>미검증</x:v>
      </x:c>
    </x:row>
    <x:row r="21" ht="42" customHeight="1">
      <x:c r="A21" s="9" t="n">
        <x:v>16</x:v>
      </x:c>
      <x:c r="B21" s="9" t="str">
        <x:v>RF-3.0</x:v>
      </x:c>
      <x:c r="C21" s="9" t="str">
        <x:v>RF-3.3</x:v>
      </x:c>
      <x:c r="D21" s="9" t="str">
        <x:v>딥러닝 비교</x:v>
      </x:c>
      <x:c r="E21" s="9" t="str">
        <x:v>표 형태 입력 MLP를 학습하여 머신러닝과 비교한다. 시퀀스 모델은 이력이 충분한 경우 추가 비교한다.</x:v>
      </x:c>
      <x:c r="F21" s="9" t="str">
        <x:v>기능성</x:v>
      </x:c>
      <x:c r="G21" s="9" t="str">
        <x:v>신규</x:v>
      </x:c>
      <x:c r="H21" s="9" t="str">
        <x:v>설계</x:v>
      </x:c>
      <x:c r="I21" s="13" t="str">
        <x:v>초안</x:v>
      </x:c>
      <x:c r="J21" s="9" t="str">
        <x:v>기획 §10; 설계1</x:v>
      </x:c>
      <x:c r="K21" s="9" t="str">
        <x:v>딥러닝 우위를 전제하지 않는다. 시퀀스 모델은 조건부 확장이다.</x:v>
      </x:c>
      <x:c r="L21" s="13" t="str">
        <x:v>검토대기</x:v>
      </x:c>
      <x:c r="M21" s="9" t="str">
        <x:v>v0.2 기획 상세화</x:v>
      </x:c>
      <x:c r="N21" s="13" t="str">
        <x:v>필수</x:v>
      </x:c>
      <x:c r="O21" s="9" t="str">
        <x:v>팀 공동</x:v>
      </x:c>
      <x:c r="P21" s="12" t="n">
        <x:v>46289</x:v>
      </x:c>
      <x:c r="Q21" s="9" t="str">
        <x:v>MLP 결과와 선택 사유를 기록하고 확장 미실시 시 사유를 명시한다.</x:v>
      </x:c>
      <x:c r="R21" s="13" t="str">
        <x:v>미검증</x:v>
      </x:c>
    </x:row>
    <x:row r="22" ht="42" customHeight="1">
      <x:c r="A22" s="10" t="n">
        <x:v>17</x:v>
      </x:c>
      <x:c r="B22" s="10" t="str">
        <x:v>RF-3.0</x:v>
      </x:c>
      <x:c r="C22" s="10" t="str">
        <x:v>RF-3.4</x:v>
      </x:c>
      <x:c r="D22" s="10" t="str">
        <x:v>평가·오류 분석</x:v>
      </x:c>
      <x:c r="E22" s="10" t="str">
        <x:v>PR-AUC·ROC-AUC·Precision·Recall·F1·혼동행렬 및 상위 20% 성능을 계산한다. 모드·티어별 오류와 표본 수도 보고한다.</x:v>
      </x:c>
      <x:c r="F22" s="10" t="str">
        <x:v>기능성</x:v>
      </x:c>
      <x:c r="G22" s="10" t="str">
        <x:v>신규</x:v>
      </x:c>
      <x:c r="H22" s="10" t="str">
        <x:v>설계</x:v>
      </x:c>
      <x:c r="I22" s="13" t="str">
        <x:v>초안</x:v>
      </x:c>
      <x:c r="J22" s="10" t="str">
        <x:v>기획 §9·10</x:v>
      </x:c>
      <x:c r="K22" s="10" t="str">
        <x:v>임계값은 검증에서 결정. 시험 성능으로 목표·N을 조정하지 않는다.</x:v>
      </x:c>
      <x:c r="L22" s="13" t="str">
        <x:v>검토대기</x:v>
      </x:c>
      <x:c r="M22" s="10" t="str">
        <x:v>v0.2 기획 상세화</x:v>
      </x:c>
      <x:c r="N22" s="13" t="str">
        <x:v>필수</x:v>
      </x:c>
      <x:c r="O22" s="10" t="str">
        <x:v>팀 공동</x:v>
      </x:c>
      <x:c r="P22" s="11" t="n">
        <x:v>46291</x:v>
      </x:c>
      <x:c r="Q22" s="10" t="str">
        <x:v>동일 시험 표본·양성 정의·분모·임계값을 기록하며 계산 불가 지표는 미산출 사유를 표시한다.</x:v>
      </x:c>
      <x:c r="R22" s="13" t="str">
        <x:v>미검증</x:v>
      </x:c>
    </x:row>
    <x:row r="23" ht="42" customHeight="1">
      <x:c r="A23" s="9" t="n">
        <x:v>18</x:v>
      </x:c>
      <x:c r="B23" s="9" t="str">
        <x:v>RF-3.0</x:v>
      </x:c>
      <x:c r="C23" s="9" t="str">
        <x:v>RF-3.5</x:v>
      </x:c>
      <x:c r="D23" s="9" t="str">
        <x:v>최종 모델·추론 저장</x:v>
      </x:c>
      <x:c r="E23" s="9" t="str">
        <x:v>선택 모델과 전처리 객체, 입력 스키마, 버전, 재실행·추론 절차를 저장한다.</x:v>
      </x:c>
      <x:c r="F23" s="9" t="str">
        <x:v>기능성</x:v>
      </x:c>
      <x:c r="G23" s="9" t="str">
        <x:v>신규</x:v>
      </x:c>
      <x:c r="H23" s="9" t="str">
        <x:v>설계</x:v>
      </x:c>
      <x:c r="I23" s="13" t="str">
        <x:v>초안</x:v>
      </x:c>
      <x:c r="J23" s="9" t="str">
        <x:v>기획 §13; 사용자 산출물</x:v>
      </x:c>
      <x:c r="K23" s="9" t="str">
        <x:v>학습·추론 변수 순서와 형식이 같아야 한다.</x:v>
      </x:c>
      <x:c r="L23" s="13" t="str">
        <x:v>검토대기</x:v>
      </x:c>
      <x:c r="M23" s="9" t="str">
        <x:v>v0.2 기획 상세화</x:v>
      </x:c>
      <x:c r="N23" s="13" t="str">
        <x:v>필수</x:v>
      </x:c>
      <x:c r="O23" s="9" t="str">
        <x:v>팀 공동</x:v>
      </x:c>
      <x:c r="P23" s="12" t="n">
        <x:v>46291</x:v>
      </x:c>
      <x:c r="Q23" s="9" t="str">
        <x:v>별도 세션에서 저장 모델을 로드해 동일 샘플 예측을 재현한다.</x:v>
      </x:c>
      <x:c r="R23" s="13" t="str">
        <x:v>미검증</x:v>
      </x:c>
    </x:row>
    <x:row r="24" ht="42" customHeight="1">
      <x:c r="A24" s="10" t="n">
        <x:v>19</x:v>
      </x:c>
      <x:c r="B24" s="10" t="str">
        <x:v>RF-4.0</x:v>
      </x:c>
      <x:c r="C24" s="10" t="str">
        <x:v>RF-4.1</x:v>
      </x:c>
      <x:c r="D24" s="10" t="str">
        <x:v>위험 점수·우선순위</x:v>
      </x:c>
      <x:c r="E24" s="10" t="str">
        <x:v>유저별 기준일, 모델 버전, 위험 점수, 순위를 출력하고 동점 처리 기준을 기록한다.</x:v>
      </x:c>
      <x:c r="F24" s="10" t="str">
        <x:v>기능성</x:v>
      </x:c>
      <x:c r="G24" s="10" t="str">
        <x:v>신규</x:v>
      </x:c>
      <x:c r="H24" s="10" t="str">
        <x:v>설계</x:v>
      </x:c>
      <x:c r="I24" s="13" t="str">
        <x:v>초안</x:v>
      </x:c>
      <x:c r="J24" s="10" t="str">
        <x:v>기획 §5·11</x:v>
      </x:c>
      <x:c r="K24" s="10" t="str">
        <x:v>점수를 확정 이탈 여부로 표현하지 않는다.</x:v>
      </x:c>
      <x:c r="L24" s="13" t="str">
        <x:v>검토대기</x:v>
      </x:c>
      <x:c r="M24" s="10" t="str">
        <x:v>v0.2 기획 상세화</x:v>
      </x:c>
      <x:c r="N24" s="13" t="str">
        <x:v>필수</x:v>
      </x:c>
      <x:c r="O24" s="10" t="str">
        <x:v>팀 공동</x:v>
      </x:c>
      <x:c r="P24" s="11" t="n">
        <x:v>46291</x:v>
      </x:c>
      <x:c r="Q24" s="10" t="str">
        <x:v>출력 행이 대상 유저·기준일과 대응하며 내림차순 정렬이 재현된다.</x:v>
      </x:c>
      <x:c r="R24" s="13" t="str">
        <x:v>미검증</x:v>
      </x:c>
    </x:row>
    <x:row r="25" ht="42" customHeight="1">
      <x:c r="A25" s="9" t="n">
        <x:v>20</x:v>
      </x:c>
      <x:c r="B25" s="9" t="str">
        <x:v>RF-4.0</x:v>
      </x:c>
      <x:c r="C25" s="9" t="str">
        <x:v>RF-4.2</x:v>
      </x:c>
      <x:c r="D25" s="9" t="str">
        <x:v>분석 결과표 저장</x:v>
      </x:c>
      <x:c r="E25" s="9" t="str">
        <x:v>관리 대상 목록과 모델 평가 요약을 CSV 또는 엑셀 등 재사용 가능한 형식으로 저장한다.</x:v>
      </x:c>
      <x:c r="F25" s="9" t="str">
        <x:v>기능성</x:v>
      </x:c>
      <x:c r="G25" s="9" t="str">
        <x:v>신규</x:v>
      </x:c>
      <x:c r="H25" s="9" t="str">
        <x:v>설계</x:v>
      </x:c>
      <x:c r="I25" s="13" t="str">
        <x:v>초안</x:v>
      </x:c>
      <x:c r="J25" s="9" t="str">
        <x:v>기획 §5·13</x:v>
      </x:c>
      <x:c r="K25" s="9" t="str">
        <x:v>데이터 규모에 적합한 형식을 선택한다.</x:v>
      </x:c>
      <x:c r="L25" s="13" t="str">
        <x:v>검토대기</x:v>
      </x:c>
      <x:c r="M25" s="9" t="str">
        <x:v>v0.2 기획 상세화</x:v>
      </x:c>
      <x:c r="N25" s="13" t="str">
        <x:v>필수</x:v>
      </x:c>
      <x:c r="O25" s="9" t="str">
        <x:v>팀 공동</x:v>
      </x:c>
      <x:c r="P25" s="12" t="n">
        <x:v>46291</x:v>
      </x:c>
      <x:c r="Q25" s="9" t="str">
        <x:v>저장 파일을 다시 읽어 행 수·유저 키·점수를 대조한다.</x:v>
      </x:c>
      <x:c r="R25" s="13" t="str">
        <x:v>미검증</x:v>
      </x:c>
    </x:row>
    <x:row r="26" ht="42" customHeight="1">
      <x:c r="A26" s="10" t="n">
        <x:v>21</x:v>
      </x:c>
      <x:c r="B26" s="10" t="str">
        <x:v>RF-5.0</x:v>
      </x:c>
      <x:c r="C26" s="10" t="str">
        <x:v>RF-5.1</x:v>
      </x:c>
      <x:c r="D26" s="10" t="str">
        <x:v>예측 요인 설명</x:v>
      </x:c>
      <x:c r="E26" s="10" t="str">
        <x:v>모델에 적합한 중요도 또는 SHAP 등으로 주요 예측 요인과 관측값을 제공한다.</x:v>
      </x:c>
      <x:c r="F26" s="10" t="str">
        <x:v>기능성</x:v>
      </x:c>
      <x:c r="G26" s="10" t="str">
        <x:v>신규</x:v>
      </x:c>
      <x:c r="H26" s="10" t="str">
        <x:v>설계</x:v>
      </x:c>
      <x:c r="I26" s="13" t="str">
        <x:v>초안</x:v>
      </x:c>
      <x:c r="J26" s="10" t="str">
        <x:v>기획 §5·10; 시장자료 §4</x:v>
      </x:c>
      <x:c r="K26" s="10" t="str">
        <x:v>SHAP은 후보 방식. 원인·감정을 진단하지 않는다.</x:v>
      </x:c>
      <x:c r="L26" s="13" t="str">
        <x:v>검토대기</x:v>
      </x:c>
      <x:c r="M26" s="10" t="str">
        <x:v>v0.2 기획 상세화</x:v>
      </x:c>
      <x:c r="N26" s="13" t="str">
        <x:v>필수</x:v>
      </x:c>
      <x:c r="O26" s="10" t="str">
        <x:v>팀 공동</x:v>
      </x:c>
      <x:c r="P26" s="11" t="n">
        <x:v>46291</x:v>
      </x:c>
      <x:c r="Q26" s="10" t="str">
        <x:v>전체 중요도와 대표 유저 사례를 실제 변수에 연결해 설명한다.</x:v>
      </x:c>
      <x:c r="R26" s="13" t="str">
        <x:v>미검증</x:v>
      </x:c>
    </x:row>
    <x:row r="27" ht="42" customHeight="1">
      <x:c r="A27" s="9" t="n">
        <x:v>22</x:v>
      </x:c>
      <x:c r="B27" s="9" t="str">
        <x:v>RF-6.0</x:v>
      </x:c>
      <x:c r="C27" s="9" t="str">
        <x:v>RF-6.1</x:v>
      </x:c>
      <x:c r="D27" s="9" t="str">
        <x:v>대시보드 탐색</x:v>
      </x:c>
      <x:c r="E27" s="9" t="str">
        <x:v>필수 산출물 완료 후 위험도·티어·모드별 목록과 분포를 탐색하는 화면을 제공한다.</x:v>
      </x:c>
      <x:c r="F27" s="9" t="str">
        <x:v>기능성</x:v>
      </x:c>
      <x:c r="G27" s="9" t="str">
        <x:v>신규</x:v>
      </x:c>
      <x:c r="H27" s="9" t="str">
        <x:v>설계</x:v>
      </x:c>
      <x:c r="I27" s="13" t="str">
        <x:v>초안</x:v>
      </x:c>
      <x:c r="J27" s="9" t="str">
        <x:v>기획 §5·11</x:v>
      </x:c>
      <x:c r="K27" s="9" t="str">
        <x:v>UI·계정·자동 알림은 필수 범위가 아니다.</x:v>
      </x:c>
      <x:c r="L27" s="13" t="str">
        <x:v>조건부</x:v>
      </x:c>
      <x:c r="M27" s="9" t="str">
        <x:v>선택 범위 유지</x:v>
      </x:c>
      <x:c r="N27" s="13" t="str">
        <x:v>선택</x:v>
      </x:c>
      <x:c r="O27" s="9" t="str">
        <x:v>장반석</x:v>
      </x:c>
      <x:c r="P27" s="12" t="n">
        <x:v>46292</x:v>
      </x:c>
      <x:c r="Q27" s="9" t="str">
        <x:v>필터 결과를 원본 결과표와 대조한다.</x:v>
      </x:c>
      <x:c r="R27" s="13" t="str">
        <x:v>미검증</x:v>
      </x:c>
    </x:row>
    <x:row r="28" ht="42" customHeight="1">
      <x:c r="A28" s="10" t="n">
        <x:v>23</x:v>
      </x:c>
      <x:c r="B28" s="10" t="str">
        <x:v>RF-7.0</x:v>
      </x:c>
      <x:c r="C28" s="10" t="str">
        <x:v>RF-7.1</x:v>
      </x:c>
      <x:c r="D28" s="10" t="str">
        <x:v>전처리 결과서</x:v>
      </x:c>
      <x:c r="E28" s="10" t="str">
        <x:v>출처·정의·품질·처리 전후·변수·라벨·분할·누수 점검을 결과서로 작성한다.</x:v>
      </x:c>
      <x:c r="F28" s="10" t="str">
        <x:v>기능성</x:v>
      </x:c>
      <x:c r="G28" s="10" t="str">
        <x:v>신규</x:v>
      </x:c>
      <x:c r="H28" s="10" t="str">
        <x:v>설계</x:v>
      </x:c>
      <x:c r="I28" s="13" t="str">
        <x:v>초안</x:v>
      </x:c>
      <x:c r="J28" s="10" t="str">
        <x:v>기획 §13; 사용자 산출물</x:v>
      </x:c>
      <x:c r="K28" s="10" t="str">
        <x:v>실행하지 않은 처리를 완료로 기록하지 않는다.</x:v>
      </x:c>
      <x:c r="L28" s="13" t="str">
        <x:v>검토대기</x:v>
      </x:c>
      <x:c r="M28" s="10" t="str">
        <x:v>산출물 요구 상세화</x:v>
      </x:c>
      <x:c r="N28" s="13" t="str">
        <x:v>필수</x:v>
      </x:c>
      <x:c r="O28" s="10" t="str">
        <x:v>팀 공동 · 신기범 근거 정리</x:v>
      </x:c>
      <x:c r="P28" s="11" t="n">
        <x:v>46291</x:v>
      </x:c>
      <x:c r="Q28" s="10" t="str">
        <x:v>학습 자료와 결과서의 건수·정의가 일치한다.</x:v>
      </x:c>
      <x:c r="R28" s="13" t="str">
        <x:v>미검증</x:v>
      </x:c>
    </x:row>
    <x:row r="29" ht="42" customHeight="1">
      <x:c r="A29" s="9" t="n">
        <x:v>24</x:v>
      </x:c>
      <x:c r="B29" s="9" t="str">
        <x:v>RF-7.0</x:v>
      </x:c>
      <x:c r="C29" s="9" t="str">
        <x:v>RF-7.2</x:v>
      </x:c>
      <x:c r="D29" s="9" t="str">
        <x:v>학습 결과서·발표</x:v>
      </x:c>
      <x:c r="E29" s="9" t="str">
        <x:v>기준선·후보 모델·조건·성능·오류·해석·한계를 정리하고 9/29 발표 자료를 준비한다.</x:v>
      </x:c>
      <x:c r="F29" s="9" t="str">
        <x:v>기능성</x:v>
      </x:c>
      <x:c r="G29" s="9" t="str">
        <x:v>신규</x:v>
      </x:c>
      <x:c r="H29" s="9" t="str">
        <x:v>설계</x:v>
      </x:c>
      <x:c r="I29" s="13" t="str">
        <x:v>초안</x:v>
      </x:c>
      <x:c r="J29" s="9" t="str">
        <x:v>기획 §9·13; 사용자 발표일</x:v>
      </x:c>
      <x:c r="K29" s="9" t="str">
        <x:v>실제 재방문·매출 개선은 오프라인 평가로 검증 불가.</x:v>
      </x:c>
      <x:c r="L29" s="13" t="str">
        <x:v>검토대기</x:v>
      </x:c>
      <x:c r="M29" s="9" t="str">
        <x:v>산출물 요구 상세화</x:v>
      </x:c>
      <x:c r="N29" s="13" t="str">
        <x:v>필수</x:v>
      </x:c>
      <x:c r="O29" s="9" t="str">
        <x:v>팀 공동 · 안효원 통합</x:v>
      </x:c>
      <x:c r="P29" s="12" t="n">
        <x:v>46293</x:v>
      </x:c>
      <x:c r="Q29" s="9" t="str">
        <x:v>전처리 결과서·학습 결과서·학습 모델과 발표 수치가 일치한다.</x:v>
      </x:c>
      <x:c r="R29" s="13" t="str">
        <x:v>미검증</x:v>
      </x:c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</x:row>
  </x:sheetData>
  <x:conditionalFormatting sqref="I6:I29">
    <x:cfRule type="containsText" dxfId="0" priority="1" operator="containsText" text="보류"/>
  </x:conditionalFormatting>
  <x:dataValidations count="3">
    <x:dataValidation type="list" sqref="I6:I29">
      <x:formula1>"초안,검토중,확정,구현중,검증완료,보류,제외"</x:formula1>
    </x:dataValidation>
    <x:dataValidation type="list" sqref="L6:L29">
      <x:formula1>"검토대기,수용,조건부,미수용"</x:formula1>
    </x:dataValidation>
    <x:dataValidation type="list" sqref="N6:N29">
      <x:formula1>"필수,선택,조건부"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98af6ac8df4f0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6" hidden="0" customWidth="1"/>
    <x:col min="2" max="2" width="17" hidden="0" customWidth="1"/>
    <x:col min="3" max="3" width="17" hidden="0" customWidth="1"/>
    <x:col min="4" max="4" width="25" hidden="0" customWidth="1"/>
    <x:col min="5" max="5" width="64" hidden="0" customWidth="1"/>
    <x:col min="6" max="6" width="12" hidden="0" customWidth="1"/>
    <x:col min="7" max="7" width="10" hidden="0" customWidth="1"/>
    <x:col min="8" max="8" width="12" hidden="0" customWidth="1"/>
    <x:col min="9" max="9" width="12" hidden="0" customWidth="1"/>
    <x:col min="10" max="10" width="28" hidden="0" customWidth="1"/>
    <x:col min="11" max="11" width="43" hidden="0" customWidth="1"/>
    <x:col min="12" max="12" width="13" hidden="0" customWidth="1"/>
    <x:col min="13" max="13" width="30" hidden="0" customWidth="1"/>
    <x:col min="14" max="14" width="12" hidden="0" customWidth="1"/>
    <x:col min="15" max="15" width="20" hidden="0" customWidth="1"/>
    <x:col min="16" max="16" width="16" hidden="0" customWidth="1"/>
    <x:col min="17" max="17" width="63" hidden="0" customWidth="1"/>
    <x:col min="18" max="18" width="2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30" customHeight="1">
      <x:c r="A2" s="3" t="str">
        <x:v>비기능적 요구사항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5" customHeight="1">
      <x:c r="A3" s="4" t="str">
        <x:v>강의안의 13개 기본 열 유지 · 우선순위/담당/목표일/검증 기준/증빙 추가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32" customHeight="1">
      <x:c r="A5" s="8" t="str">
        <x:v>NO</x:v>
      </x:c>
      <x:c r="B5" s="8" t="str">
        <x:v>요구사항No(Main)</x:v>
      </x:c>
      <x:c r="C5" s="8" t="str">
        <x:v>요구사항No(Sub)</x:v>
      </x:c>
      <x:c r="D5" s="8" t="str">
        <x:v>요구사항명</x:v>
      </x:c>
      <x:c r="E5" s="8" t="str">
        <x:v>상세 요구사항 정의</x:v>
      </x:c>
      <x:c r="F5" s="8" t="str">
        <x:v>유형</x:v>
      </x:c>
      <x:c r="G5" s="8" t="str">
        <x:v>구분</x:v>
      </x:c>
      <x:c r="H5" s="8" t="str">
        <x:v>도출단계</x:v>
      </x:c>
      <x:c r="I5" s="8" t="str">
        <x:v>상태</x:v>
      </x:c>
      <x:c r="J5" s="8" t="str">
        <x:v>출처</x:v>
      </x:c>
      <x:c r="K5" s="8" t="str">
        <x:v>제약사항</x:v>
      </x:c>
      <x:c r="L5" s="8" t="str">
        <x:v>수용여부</x:v>
      </x:c>
      <x:c r="M5" s="8" t="str">
        <x:v>변경내역</x:v>
      </x:c>
      <x:c r="N5" s="8" t="str">
        <x:v>우선순위</x:v>
      </x:c>
      <x:c r="O5" s="8" t="str">
        <x:v>담당 역할</x:v>
      </x:c>
      <x:c r="P5" s="8" t="str">
        <x:v>목표일(제안)</x:v>
      </x:c>
      <x:c r="Q5" s="8" t="str">
        <x:v>검증·수용 기준</x:v>
      </x:c>
      <x:c r="R5" s="8" t="str">
        <x:v>검증 결과·증빙</x:v>
      </x:c>
    </x:row>
    <x:row r="6" ht="110" customHeight="1">
      <x:c r="A6" s="10" t="n">
        <x:v>1</x:v>
      </x:c>
      <x:c r="B6" s="10" t="str">
        <x:v>NFR-1.0</x:v>
      </x:c>
      <x:c r="C6" s="10" t="str">
        <x:v>NFR-1.1</x:v>
      </x:c>
      <x:c r="D6" s="10" t="str">
        <x:v>재현성</x:v>
      </x:c>
      <x:c r="E6" s="10" t="str">
        <x:v>코드·라이브러리·시드·기준일·기간·모드·모델 설정과 team-id·batch-id·실행 설정을 기록. 원본·전처리·모델 버전을 연결하여 재현 가능하게 관리</x:v>
      </x:c>
      <x:c r="F6" s="10" t="str">
        <x:v>재현성</x:v>
      </x:c>
      <x:c r="G6" s="10" t="str">
        <x:v>신규</x:v>
      </x:c>
      <x:c r="H6" s="10" t="str">
        <x:v>설계</x:v>
      </x:c>
      <x:c r="I6" s="13" t="str">
        <x:v>초안</x:v>
      </x:c>
      <x:c r="J6" s="10" t="str">
        <x:v>기획 v0.2; 수집1; 사용자 9/21</x:v>
      </x:c>
      <x:c r="K6" s="10" t="str">
        <x:v>외부 API 결과는 시간에 따라 달라질 수 있다.</x:v>
      </x:c>
      <x:c r="L6" s="13" t="str">
        <x:v>검토대기</x:v>
      </x:c>
      <x:c r="M6" s="10" t="str">
        <x:v>v0.1 보완: 4인 수집·검토 현황 반영</x:v>
      </x:c>
      <x:c r="N6" s="13" t="str">
        <x:v>필수</x:v>
      </x:c>
      <x:c r="O6" s="10" t="str">
        <x:v>팀 공동</x:v>
      </x:c>
      <x:c r="P6" s="11" t="n">
        <x:v>46291</x:v>
      </x:c>
      <x:c r="Q6" s="10" t="str">
        <x:v>동일 고정 데이터로 재실행하고 허용 오차·환경 차이를 기록한다.</x:v>
      </x:c>
      <x:c r="R6" s="13" t="str">
        <x:v>미검증</x:v>
      </x:c>
    </x:row>
    <x:row r="7" ht="42" customHeight="1">
      <x:c r="A7" s="9" t="n">
        <x:v>2</x:v>
      </x:c>
      <x:c r="B7" s="9" t="str">
        <x:v>NFR-1.0</x:v>
      </x:c>
      <x:c r="C7" s="9" t="str">
        <x:v>NFR-1.2</x:v>
      </x:c>
      <x:c r="D7" s="9" t="str">
        <x:v>추론 입력 일관성</x:v>
      </x:c>
      <x:c r="E7" s="9" t="str">
        <x:v>입력 컬럼 이름·순서·타입과 누락 처리 규칙을 검증한다.</x:v>
      </x:c>
      <x:c r="F7" s="9" t="str">
        <x:v>재현성</x:v>
      </x:c>
      <x:c r="G7" s="9" t="str">
        <x:v>신규</x:v>
      </x:c>
      <x:c r="H7" s="9" t="str">
        <x:v>설계</x:v>
      </x:c>
      <x:c r="I7" s="13" t="str">
        <x:v>초안</x:v>
      </x:c>
      <x:c r="J7" s="9" t="str">
        <x:v>기획 §13</x:v>
      </x:c>
      <x:c r="K7" s="9" t="str">
        <x:v>잘못된 입력을 정상 예측처럼 출력하지 않는다.</x:v>
      </x:c>
      <x:c r="L7" s="13" t="str">
        <x:v>검토대기</x:v>
      </x:c>
      <x:c r="M7" s="9" t="str">
        <x:v>v0.2 기획 상세화</x:v>
      </x:c>
      <x:c r="N7" s="13" t="str">
        <x:v>필수</x:v>
      </x:c>
      <x:c r="O7" s="9" t="str">
        <x:v>팀 공동</x:v>
      </x:c>
      <x:c r="P7" s="12" t="n">
        <x:v>46291</x:v>
      </x:c>
      <x:c r="Q7" s="9" t="str">
        <x:v>누락·순서 변경·새 범주 사례에서 지정된 처리 또는 오류가 나온다.</x:v>
      </x:c>
      <x:c r="R7" s="13" t="str">
        <x:v>미검증</x:v>
      </x:c>
    </x:row>
    <x:row r="8" ht="34" customHeight="1">
      <x:c r="A8" s="10" t="n">
        <x:v>3</x:v>
      </x:c>
      <x:c r="B8" s="10" t="str">
        <x:v>NFR-2.0</x:v>
      </x:c>
      <x:c r="C8" s="10" t="str">
        <x:v>NFR-2.1</x:v>
      </x:c>
      <x:c r="D8" s="10" t="str">
        <x:v>수집 완전성</x:v>
      </x:c>
      <x:c r="E8" s="10" t="str">
        <x:v>빈 응답, 실패, 관찰 미완료와 실제 무경기를 구분한다.</x:v>
      </x:c>
      <x:c r="F8" s="10" t="str">
        <x:v>신뢰성</x:v>
      </x:c>
      <x:c r="G8" s="10" t="str">
        <x:v>신규</x:v>
      </x:c>
      <x:c r="H8" s="10" t="str">
        <x:v>설계</x:v>
      </x:c>
      <x:c r="I8" s="13" t="str">
        <x:v>초안</x:v>
      </x:c>
      <x:c r="J8" s="10" t="str">
        <x:v>기획 §6·7·11</x:v>
      </x:c>
      <x:c r="K8" s="10" t="str">
        <x:v>일부 모드 누락은 거짓 양성을 만든다.</x:v>
      </x:c>
      <x:c r="L8" s="13" t="str">
        <x:v>검토대기</x:v>
      </x:c>
      <x:c r="M8" s="10" t="str">
        <x:v>v0.2 기획 상세화</x:v>
      </x:c>
      <x:c r="N8" s="13" t="str">
        <x:v>필수</x:v>
      </x:c>
      <x:c r="O8" s="10" t="str">
        <x:v>팀 공동</x:v>
      </x:c>
      <x:c r="P8" s="11" t="n">
        <x:v>46287</x:v>
      </x:c>
      <x:c r="Q8" s="10" t="str">
        <x:v>실패·미완료 사례를 churn=1로 기록한 건수가 0이다.</x:v>
      </x:c>
      <x:c r="R8" s="13" t="str">
        <x:v>미검증</x:v>
      </x:c>
    </x:row>
    <x:row r="9" ht="42" customHeight="1">
      <x:c r="A9" s="9" t="n">
        <x:v>4</x:v>
      </x:c>
      <x:c r="B9" s="9" t="str">
        <x:v>NFR-2.0</x:v>
      </x:c>
      <x:c r="C9" s="9" t="str">
        <x:v>NFR-2.2</x:v>
      </x:c>
      <x:c r="D9" s="9" t="str">
        <x:v>미래 정보 누수 방지</x:v>
      </x:c>
      <x:c r="E9" s="9" t="str">
        <x:v>입력은 기준일 전에 확보 가능한 값만 사용하고 전처리는 학습에서만 적합한다.</x:v>
      </x:c>
      <x:c r="F9" s="9" t="str">
        <x:v>신뢰성</x:v>
      </x:c>
      <x:c r="G9" s="9" t="str">
        <x:v>신규</x:v>
      </x:c>
      <x:c r="H9" s="9" t="str">
        <x:v>설계</x:v>
      </x:c>
      <x:c r="I9" s="13" t="str">
        <x:v>초안</x:v>
      </x:c>
      <x:c r="J9" s="9" t="str">
        <x:v>기획 §8·10</x:v>
      </x:c>
      <x:c r="K9" s="9" t="str">
        <x:v>현재 티어를 과거 기준일 입력에 붙이지 않는다.</x:v>
      </x:c>
      <x:c r="L9" s="13" t="str">
        <x:v>검토대기</x:v>
      </x:c>
      <x:c r="M9" s="9" t="str">
        <x:v>v0.2 기획 상세화</x:v>
      </x:c>
      <x:c r="N9" s="13" t="str">
        <x:v>필수</x:v>
      </x:c>
      <x:c r="O9" s="9" t="str">
        <x:v>팀 공동</x:v>
      </x:c>
      <x:c r="P9" s="12" t="n">
        <x:v>46289</x:v>
      </x:c>
      <x:c r="Q9" s="9" t="str">
        <x:v>피처 시점과 fit 대상 행을 점검하여 미래 정보 혼입 0건을 확인한다.</x:v>
      </x:c>
      <x:c r="R9" s="13" t="str">
        <x:v>미검증</x:v>
      </x:c>
    </x:row>
    <x:row r="10" ht="42" customHeight="1">
      <x:c r="A10" s="10" t="n">
        <x:v>5</x:v>
      </x:c>
      <x:c r="B10" s="10" t="str">
        <x:v>NFR-2.0</x:v>
      </x:c>
      <x:c r="C10" s="10" t="str">
        <x:v>NFR-2.3</x:v>
      </x:c>
      <x:c r="D10" s="10" t="str">
        <x:v>KPI 비교 공정성</x:v>
      </x:c>
      <x:c r="E10" s="10" t="str">
        <x:v>동일 시험 표본·상위 비율·동점 규칙으로 기준선과 모델을 평가한다.</x:v>
      </x:c>
      <x:c r="F10" s="10" t="str">
        <x:v>성능</x:v>
      </x:c>
      <x:c r="G10" s="10" t="str">
        <x:v>신규</x:v>
      </x:c>
      <x:c r="H10" s="10" t="str">
        <x:v>설계</x:v>
      </x:c>
      <x:c r="I10" s="13" t="str">
        <x:v>초안</x:v>
      </x:c>
      <x:c r="J10" s="10" t="str">
        <x:v>기획 §9</x:v>
      </x:c>
      <x:c r="K10" s="10" t="str">
        <x:v>목표 5%p·Lift 1.5는 제안값으로 확정 전 협의한다.</x:v>
      </x:c>
      <x:c r="L10" s="13" t="str">
        <x:v>검토대기</x:v>
      </x:c>
      <x:c r="M10" s="10" t="str">
        <x:v>v0.2 기획 상세화</x:v>
      </x:c>
      <x:c r="N10" s="13" t="str">
        <x:v>필수</x:v>
      </x:c>
      <x:c r="O10" s="10" t="str">
        <x:v>팀 공동</x:v>
      </x:c>
      <x:c r="P10" s="11" t="n">
        <x:v>46291</x:v>
      </x:c>
      <x:c r="Q10" s="10" t="str">
        <x:v>KPI_검증 시트에 목표·실측·증빙·판정을 별도 기록한다.</x:v>
      </x:c>
      <x:c r="R10" s="13" t="str">
        <x:v>미검증</x:v>
      </x:c>
    </x:row>
    <x:row r="11" ht="110" customHeight="1">
      <x:c r="A11" s="9" t="n">
        <x:v>6</x:v>
      </x:c>
      <x:c r="B11" s="9" t="str">
        <x:v>NFR-3.0</x:v>
      </x:c>
      <x:c r="C11" s="9" t="str">
        <x:v>NFR-3.1</x:v>
      </x:c>
      <x:c r="D11" s="9" t="str">
        <x:v>API 키 보호</x:v>
      </x:c>
      <x:c r="E11" s="9" t="str">
        <x:v>각 팀원은 자신의 API Key를 런타임에 입력하고 공유·하드코딩하지 않음. 원본 데이터·로그·문서·배포물에 키를 남기지 않으며 만료·재발급 시 안전하게 교체</x:v>
      </x:c>
      <x:c r="F11" s="9" t="str">
        <x:v>정보 관리</x:v>
      </x:c>
      <x:c r="G11" s="9" t="str">
        <x:v>신규</x:v>
      </x:c>
      <x:c r="H11" s="9" t="str">
        <x:v>설계</x:v>
      </x:c>
      <x:c r="I11" s="13" t="str">
        <x:v>초안</x:v>
      </x:c>
      <x:c r="J11" s="9" t="str">
        <x:v>기획 v0.2; 수집1; 사용자 9/21</x:v>
      </x:c>
      <x:c r="K11" s="9" t="str">
        <x:v>실제 키를 엑셀에 입력하지 않는다.</x:v>
      </x:c>
      <x:c r="L11" s="13" t="str">
        <x:v>검토대기</x:v>
      </x:c>
      <x:c r="M11" s="9" t="str">
        <x:v>v0.1 보완: 4인 수집·검토 현황 반영</x:v>
      </x:c>
      <x:c r="N11" s="13" t="str">
        <x:v>필수</x:v>
      </x:c>
      <x:c r="O11" s="9" t="str">
        <x:v>팀 공동</x:v>
      </x:c>
      <x:c r="P11" s="12" t="n">
        <x:v>46293</x:v>
      </x:c>
      <x:c r="Q11" s="9" t="str">
        <x:v>제출 파일과 로그에서 키 노출이 없음을 점검한다.</x:v>
      </x:c>
      <x:c r="R11" s="13" t="str">
        <x:v>미검증</x:v>
      </x:c>
    </x:row>
    <x:row r="12" ht="110" customHeight="1">
      <x:c r="A12" s="10" t="n">
        <x:v>7</x:v>
      </x:c>
      <x:c r="B12" s="10" t="str">
        <x:v>NFR-3.0</x:v>
      </x:c>
      <x:c r="C12" s="10" t="str">
        <x:v>NFR-3.2</x:v>
      </x:c>
      <x:c r="D12" s="10" t="str">
        <x:v>식별자 용도 분리</x:v>
      </x:c>
      <x:c r="E12" s="10" t="str">
        <x:v>PUUID를 데이터 연결 목적으로만 사용하고 모델 입력·외부 발표의 직접 식별자로 제외. 서로 다른 키·수집 결과 간 식별자 비교 가능성을 확인한 후 중복 제거</x:v>
      </x:c>
      <x:c r="F12" s="10" t="str">
        <x:v>정보 관리</x:v>
      </x:c>
      <x:c r="G12" s="10" t="str">
        <x:v>신규</x:v>
      </x:c>
      <x:c r="H12" s="10" t="str">
        <x:v>설계</x:v>
      </x:c>
      <x:c r="I12" s="13" t="str">
        <x:v>초안</x:v>
      </x:c>
      <x:c r="J12" s="10" t="str">
        <x:v>기획 v0.2; 수집1; 사용자 9/21</x:v>
      </x:c>
      <x:c r="K12" s="10" t="str">
        <x:v>대체 ID는 별도 매핑 관리. CASE와 혼동하지 않는다.</x:v>
      </x:c>
      <x:c r="L12" s="13" t="str">
        <x:v>검토대기</x:v>
      </x:c>
      <x:c r="M12" s="10" t="str">
        <x:v>v0.1 보완: 4인 수집·검토 현황 반영</x:v>
      </x:c>
      <x:c r="N12" s="13" t="str">
        <x:v>필수</x:v>
      </x:c>
      <x:c r="O12" s="10" t="str">
        <x:v>팀 공동</x:v>
      </x:c>
      <x:c r="P12" s="11" t="n">
        <x:v>46291</x:v>
      </x:c>
      <x:c r="Q12" s="10" t="str">
        <x:v>모델 입력에 PUUID·Riot ID가 없고 공개 예시에 원본 식별자가 없다.</x:v>
      </x:c>
      <x:c r="R12" s="13" t="str">
        <x:v>미검증</x:v>
      </x:c>
    </x:row>
    <x:row r="13" ht="42" customHeight="1">
      <x:c r="A13" s="9" t="n">
        <x:v>8</x:v>
      </x:c>
      <x:c r="B13" s="9" t="str">
        <x:v>NFR-3.0</x:v>
      </x:c>
      <x:c r="C13" s="9" t="str">
        <x:v>NFR-3.3</x:v>
      </x:c>
      <x:c r="D13" s="9" t="str">
        <x:v>호출 제한 대응</x:v>
      </x:c>
      <x:c r="E13" s="9" t="str">
        <x:v>429 응답의 Retry-After를 따라 대기하고 만료·오류 이력을 남긴다.</x:v>
      </x:c>
      <x:c r="F13" s="9" t="str">
        <x:v>안정성</x:v>
      </x:c>
      <x:c r="G13" s="9" t="str">
        <x:v>신규</x:v>
      </x:c>
      <x:c r="H13" s="9" t="str">
        <x:v>설계</x:v>
      </x:c>
      <x:c r="I13" s="13" t="str">
        <x:v>초안</x:v>
      </x:c>
      <x:c r="J13" s="9" t="str">
        <x:v>기획 §12; 시장10</x:v>
      </x:c>
      <x:c r="K13" s="9" t="str">
        <x:v>실제 키의 제한을 확인하며 다중 키로 제한을 우회하지 않는다.</x:v>
      </x:c>
      <x:c r="L13" s="13" t="str">
        <x:v>검토대기</x:v>
      </x:c>
      <x:c r="M13" s="9" t="str">
        <x:v>v0.2 기획 상세화</x:v>
      </x:c>
      <x:c r="N13" s="13" t="str">
        <x:v>필수</x:v>
      </x:c>
      <x:c r="O13" s="9" t="str">
        <x:v>팀 공동</x:v>
      </x:c>
      <x:c r="P13" s="12" t="n">
        <x:v>46287</x:v>
      </x:c>
      <x:c r="Q13" s="9" t="str">
        <x:v>제한·만료·서버 오류 시 재시도 또는 중단 상태가 명확하다.</x:v>
      </x:c>
      <x:c r="R13" s="13" t="str">
        <x:v>미검증</x:v>
      </x:c>
    </x:row>
    <x:row r="14" ht="42" customHeight="1">
      <x:c r="A14" s="10" t="n">
        <x:v>9</x:v>
      </x:c>
      <x:c r="B14" s="10" t="str">
        <x:v>NFR-4.0</x:v>
      </x:c>
      <x:c r="C14" s="10" t="str">
        <x:v>NFR-4.1</x:v>
      </x:c>
      <x:c r="D14" s="10" t="str">
        <x:v>해석 범위 명시</x:v>
      </x:c>
      <x:c r="E14" s="10" t="str">
        <x:v>위험 점수는 대상 모드의 30일 무경기 예측이며 원인·영구 탈퇴·로그인 중단이 아님을 표시한다.</x:v>
      </x:c>
      <x:c r="F14" s="10" t="str">
        <x:v>설명 가능성</x:v>
      </x:c>
      <x:c r="G14" s="10" t="str">
        <x:v>신규</x:v>
      </x:c>
      <x:c r="H14" s="10" t="str">
        <x:v>설계</x:v>
      </x:c>
      <x:c r="I14" s="13" t="str">
        <x:v>초안</x:v>
      </x:c>
      <x:c r="J14" s="10" t="str">
        <x:v>기획 §4·6·11</x:v>
      </x:c>
      <x:c r="K14" s="10" t="str">
        <x:v>팀원 기록으로 친구·듀오 관계를 단정하지 않는다.</x:v>
      </x:c>
      <x:c r="L14" s="13" t="str">
        <x:v>검토대기</x:v>
      </x:c>
      <x:c r="M14" s="10" t="str">
        <x:v>v0.2 기획 상세화</x:v>
      </x:c>
      <x:c r="N14" s="13" t="str">
        <x:v>필수</x:v>
      </x:c>
      <x:c r="O14" s="10" t="str">
        <x:v>팀 공동</x:v>
      </x:c>
      <x:c r="P14" s="11" t="n">
        <x:v>46291</x:v>
      </x:c>
      <x:c r="Q14" s="10" t="str">
        <x:v>결과서·화면·발표에서 동일 정의와 한계를 사용한다.</x:v>
      </x:c>
      <x:c r="R14" s="13" t="str">
        <x:v>미검증</x:v>
      </x:c>
    </x:row>
    <x:row r="15" ht="42" customHeight="1">
      <x:c r="A15" s="9" t="n">
        <x:v>10</x:v>
      </x:c>
      <x:c r="B15" s="9" t="str">
        <x:v>NFR-4.0</x:v>
      </x:c>
      <x:c r="C15" s="9" t="str">
        <x:v>NFR-4.2</x:v>
      </x:c>
      <x:c r="D15" s="9" t="str">
        <x:v>출처와 검증 상태</x:v>
      </x:c>
      <x:c r="E15" s="9" t="str">
        <x:v>자료 출처·기준일·접근 제한과 확인 수준을 기록한다.</x:v>
      </x:c>
      <x:c r="F15" s="9" t="str">
        <x:v>추적성</x:v>
      </x:c>
      <x:c r="G15" s="9" t="str">
        <x:v>신규</x:v>
      </x:c>
      <x:c r="H15" s="9" t="str">
        <x:v>설계</x:v>
      </x:c>
      <x:c r="I15" s="13" t="str">
        <x:v>초안</x:v>
      </x:c>
      <x:c r="J15" s="9" t="str">
        <x:v>강의 Day02~05; 기획 참고문헌</x:v>
      </x:c>
      <x:c r="K15" s="9" t="str">
        <x:v>웹 접근 불가 자료를 직접 검증한 것으로 표현하지 않는다.</x:v>
      </x:c>
      <x:c r="L15" s="13" t="str">
        <x:v>검토대기</x:v>
      </x:c>
      <x:c r="M15" s="9" t="str">
        <x:v>v0.2 기획 상세화</x:v>
      </x:c>
      <x:c r="N15" s="13" t="str">
        <x:v>필수</x:v>
      </x:c>
      <x:c r="O15" s="9" t="str">
        <x:v>팀 공동 · 장성희 요구사항</x:v>
      </x:c>
      <x:c r="P15" s="12" t="n">
        <x:v>46293</x:v>
      </x:c>
      <x:c r="Q15" s="9" t="str">
        <x:v>데이터_정의의 출처 ID로 요구사항 근거를 추적할 수 있다.</x:v>
      </x:c>
      <x:c r="R15" s="13" t="str">
        <x:v>미검증</x:v>
      </x:c>
    </x:row>
    <x:row r="16" ht="42" customHeight="1">
      <x:c r="A16" s="10" t="n">
        <x:v>11</x:v>
      </x:c>
      <x:c r="B16" s="10" t="str">
        <x:v>NFR-4.0</x:v>
      </x:c>
      <x:c r="C16" s="10" t="str">
        <x:v>NFR-4.3</x:v>
      </x:c>
      <x:c r="D16" s="10" t="str">
        <x:v>사용자 효용 검증</x:v>
      </x:c>
      <x:c r="E16" s="10" t="str">
        <x:v>게임 운영 담당자 인터뷰 일정 없음. 운영자 평가가 별도로 수행되지 않는 한 업무 시간 단축 효과는 미검증으로 유지한다.</x:v>
      </x:c>
      <x:c r="F16" s="10" t="str">
        <x:v>사용성</x:v>
      </x:c>
      <x:c r="G16" s="10" t="str">
        <x:v>신규</x:v>
      </x:c>
      <x:c r="H16" s="10" t="str">
        <x:v>설계</x:v>
      </x:c>
      <x:c r="I16" s="13" t="str">
        <x:v>초안</x:v>
      </x:c>
      <x:c r="J16" s="10" t="str">
        <x:v>기획 §4·9</x:v>
      </x:c>
      <x:c r="K16" s="10" t="str">
        <x:v>팀원 시연은 실제 운영 현장 검증이 아니다.</x:v>
      </x:c>
      <x:c r="L16" s="13" t="str">
        <x:v>검토대기</x:v>
      </x:c>
      <x:c r="M16" s="10" t="str">
        <x:v>v0.2 기획 상세화</x:v>
      </x:c>
      <x:c r="N16" s="13" t="str">
        <x:v>조건부</x:v>
      </x:c>
      <x:c r="O16" s="10" t="str">
        <x:v>장성희</x:v>
      </x:c>
      <x:c r="P16" s="11" t="n">
        <x:v>46293</x:v>
      </x:c>
      <x:c r="Q16" s="10" t="str">
        <x:v>대상·과제·전후 시간 증빙 또는 미검증 사유를 기록한다.</x:v>
      </x:c>
      <x:c r="R16" s="13" t="str">
        <x:v>미검증</x:v>
      </x:c>
    </x:row>
    <x:row r="17" ht="110" customHeight="1">
      <x:c r="A17" s="9" t="n">
        <x:v>12</x:v>
      </x:c>
      <x:c r="B17" s="9" t="str">
        <x:v>NFR-5.0</x:v>
      </x:c>
      <x:c r="C17" s="9" t="str">
        <x:v>NFR-5.1</x:v>
      </x:c>
      <x:c r="D17" s="9" t="str">
        <x:v>버전·변경 관리</x:v>
      </x:c>
      <x:c r="E17" s="9" t="str">
        <x:v>v0.1 검토 완료를 이력에 기록하고 수집·일정 보완사항은 동일 버전에 반영. 수용 여부·구현 상태·검증 증빙을 각각 관리하며 문서 검토 완료를 모델 검증 완료로 간주하지 않음</x:v>
      </x:c>
      <x:c r="F17" s="9" t="str">
        <x:v>유지보수성</x:v>
      </x:c>
      <x:c r="G17" s="9" t="str">
        <x:v>신규</x:v>
      </x:c>
      <x:c r="H17" s="9" t="str">
        <x:v>설계</x:v>
      </x:c>
      <x:c r="I17" s="13" t="str">
        <x:v>초안</x:v>
      </x:c>
      <x:c r="J17" s="9" t="str">
        <x:v>기획 v0.2; 수집1; 사용자 9/21</x:v>
      </x:c>
      <x:c r="K17" s="9" t="str">
        <x:v>담당 역할은 역할분담 보고서를 따른다. 구현 진척은 확인된 내용만 기록한다.</x:v>
      </x:c>
      <x:c r="L17" s="13" t="str">
        <x:v>검토대기</x:v>
      </x:c>
      <x:c r="M17" s="9" t="str">
        <x:v>v0.1 보완: 4인 수집·검토 현황 반영</x:v>
      </x:c>
      <x:c r="N17" s="13" t="str">
        <x:v>필수</x:v>
      </x:c>
      <x:c r="O17" s="9" t="str">
        <x:v>장성희 · 안효원</x:v>
      </x:c>
      <x:c r="P17" s="12" t="n">
        <x:v>46293</x:v>
      </x:c>
      <x:c r="Q17" s="9" t="str">
        <x:v>변경 시 이유·영향·날짜와 산출물 버전이 기록된다.</x:v>
      </x:c>
      <x:c r="R17" s="13" t="str">
        <x:v>미검증</x:v>
      </x:c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</x:row>
  </x:sheetData>
  <x:conditionalFormatting sqref="I6:I17">
    <x:cfRule type="containsText" dxfId="1" priority="1" operator="containsText" text="보류"/>
  </x:conditionalFormatting>
  <x:dataValidations count="3">
    <x:dataValidation type="list" sqref="I6:I17">
      <x:formula1>"초안,검토중,확정,구현중,검증완료,보류,제외"</x:formula1>
    </x:dataValidation>
    <x:dataValidation type="list" sqref="L6:L17">
      <x:formula1>"검토대기,수용,조건부,미수용"</x:formula1>
    </x:dataValidation>
    <x:dataValidation type="list" sqref="N6:N17">
      <x:formula1>"필수,선택,조건부"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2709a4bdd8f43a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57" hidden="0" customWidth="1"/>
    <x:col min="3" max="3" width="43" hidden="0" customWidth="1"/>
    <x:col min="4" max="4" width="69" hidden="0" customWidth="1"/>
    <x:col min="5" max="5" width="28" hidden="0" customWidth="1"/>
  </x:cols>
  <x:sheetData>
    <x:row r="1">
      <x:c r="A1" s="2"/>
      <x:c r="B1" s="2"/>
      <x:c r="C1" s="2"/>
      <x:c r="D1" s="2"/>
      <x:c r="E1" s="2"/>
    </x:row>
    <x:row r="2" ht="30" customHeight="1">
      <x:c r="A2" s="3" t="str">
        <x:v>제약사항과 예상 결과</x:v>
      </x:c>
      <x:c r="B2" s="2"/>
      <x:c r="C2" s="2"/>
      <x:c r="D2" s="2"/>
      <x:c r="E2" s="2"/>
    </x:row>
    <x:row r="3" ht="25" customHeight="1">
      <x:c r="A3" s="4" t="str">
        <x:v>기획 v0.2를 기준으로 위험·미확정 항목과 대응을 기록</x:v>
      </x:c>
      <x:c r="B3" s="2"/>
      <x:c r="C3" s="2"/>
      <x:c r="D3" s="2"/>
      <x:c r="E3" s="2"/>
    </x:row>
    <x:row r="4">
      <x:c r="A4" s="2"/>
      <x:c r="B4" s="2"/>
      <x:c r="C4" s="2"/>
      <x:c r="D4" s="2"/>
      <x:c r="E4" s="2"/>
    </x:row>
    <x:row r="5" ht="32" customHeight="1">
      <x:c r="A5" s="8" t="str">
        <x:v>구분</x:v>
      </x:c>
      <x:c r="B5" s="8" t="str">
        <x:v>내용</x:v>
      </x:c>
      <x:c r="C5" s="8" t="str">
        <x:v>영향</x:v>
      </x:c>
      <x:c r="D5" s="8" t="str">
        <x:v>대응 방안</x:v>
      </x:c>
      <x:c r="E5" s="8" t="str">
        <x:v>관련 요구사항</x:v>
      </x:c>
    </x:row>
    <x:row r="6" ht="42" customHeight="1">
      <x:c r="A6" s="10" t="str">
        <x:v>일정</x:v>
      </x:c>
      <x:c r="B6" s="10" t="str">
        <x:v>2026-09-29 발표. 9/21부터 신규 30일 관찰은 불가능</x:v>
      </x:c>
      <x:c r="C6" s="10" t="str">
        <x:v>발표 전 신규 후속 관찰 완료 불가</x:v>
      </x:c>
      <x:c r="D6" s="10" t="str">
        <x:v>이미 28+30일이 관찰된 과거 이력 검토. 수집 완전성이 부족하면 대체 자료·범위를 강사와 협의</x:v>
      </x:c>
      <x:c r="E6" s="10" t="str">
        <x:v>RF-2.6~2.7</x:v>
      </x:c>
    </x:row>
    <x:row r="7" ht="110" customHeight="1">
      <x:c r="A7" s="9" t="str">
        <x:v>정답·수집</x:v>
      </x:c>
      <x:c r="B7" s="9" t="str">
        <x:v>30일 전 기간 라벨 조회 및 28일 입력 집계의 완전성 확인 필요. 안내서 상세 수집은 최근 MAX 30경기</x:v>
      </x:c>
      <x:c r="C7" s="9" t="str">
        <x:v>거짓 이탈 라벨</x:v>
      </x:c>
      <x:c r="D7" s="9" t="str">
        <x:v>최대30경기 입력과 라벨 관찰을 분리. 과거 완결된 28+30일 이력 확보 여부 확인. 부족 이력은 보완하고 불완전 라벨은 제외</x:v>
      </x:c>
      <x:c r="E7" s="9" t="str">
        <x:v>RF-1.3~1.5; NFR-2.1</x:v>
      </x:c>
    </x:row>
    <x:row r="8" ht="110" customHeight="1">
      <x:c r="A8" s="10" t="str">
        <x:v>표본</x:v>
      </x:c>
      <x:c r="B8" s="10" t="str">
        <x:v>SoloQ 시드에서 경기 참가자로 확장하는 표본. 팀·배치 간 동일 유저 중복 및 선택 편향 가능</x:v>
      </x:c>
      <x:c r="C8" s="10" t="str">
        <x:v>대표성·선택 편향</x:v>
      </x:c>
      <x:c r="D8" s="10" t="str">
        <x:v>표본 추출·확장 경로 보고. 식별자 비교 가능성 검증 후 중복 제거, 팀별·통합 고유 유저·확정 라벨 수를 별도 집계</x:v>
      </x:c>
      <x:c r="E8" s="10" t="str">
        <x:v>RF-1.2; NFR-4.1</x:v>
      </x:c>
    </x:row>
    <x:row r="9" ht="42" customHeight="1">
      <x:c r="A9" s="9" t="str">
        <x:v>자료 연결</x:v>
      </x:c>
      <x:c r="B9" s="9" t="str">
        <x:v>Mendeley CASE와 API PUUID 연결 근거 없음</x:v>
      </x:c>
      <x:c r="C9" s="9" t="str">
        <x:v>잘못된 병합</x:v>
      </x:c>
      <x:c r="D9" s="9" t="str">
        <x:v>자료를 독립적으로 분석하고 검증된 공통 식별자 없이는 병합하지 않음</x:v>
      </x:c>
      <x:c r="E9" s="9" t="str">
        <x:v>RF-1.2; RF-2.2</x:v>
      </x:c>
    </x:row>
    <x:row r="10" ht="34" customHeight="1">
      <x:c r="A10" s="10" t="str">
        <x:v>단위·의미</x:v>
      </x:c>
      <x:c r="B10" s="10" t="str">
        <x:v>시간 단위, AVSCORE, 팀 관련 컬럼 의미 미확정</x:v>
      </x:c>
      <x:c r="C10" s="10" t="str">
        <x:v>잘못된 피처 해석</x:v>
      </x:c>
      <x:c r="D10" s="10" t="str">
        <x:v>원 정의를 확인하고 미확인 값의 임의 환산·듀오 해석 금지</x:v>
      </x:c>
      <x:c r="E10" s="10" t="str">
        <x:v>RF-2.1~2.2</x:v>
      </x:c>
    </x:row>
    <x:row r="11" ht="34" customHeight="1">
      <x:c r="A11" s="9" t="str">
        <x:v>누수</x:v>
      </x:c>
      <x:c r="B11" s="9" t="str">
        <x:v>현재 티어·미래 경기·전체 자료 전처리 사용</x:v>
      </x:c>
      <x:c r="C11" s="9" t="str">
        <x:v>성능 과대평가</x:v>
      </x:c>
      <x:c r="D11" s="9" t="str">
        <x:v>T 이전 입력, 학습 전용 fit, 라벨 기간 겹침 방지</x:v>
      </x:c>
      <x:c r="E11" s="9" t="str">
        <x:v>RF-3.1; NFR-2.2</x:v>
      </x:c>
    </x:row>
    <x:row r="12" ht="34" customHeight="1">
      <x:c r="A12" s="10" t="str">
        <x:v>API</x:v>
      </x:c>
      <x:c r="B12" s="10" t="str">
        <x:v>키 만료·호출 제한·일시 오류</x:v>
      </x:c>
      <x:c r="C12" s="10" t="str">
        <x:v>수집 지연·누락</x:v>
      </x:c>
      <x:c r="D12" s="10" t="str">
        <x:v>중간 저장, 완료/실패 분리, Retry-After 준수</x:v>
      </x:c>
      <x:c r="E12" s="10" t="str">
        <x:v>RF-1.6; NFR-3.3</x:v>
      </x:c>
    </x:row>
    <x:row r="13" ht="34" customHeight="1">
      <x:c r="A13" s="9" t="str">
        <x:v>출처 접근</x:v>
      </x:c>
      <x:c r="B13" s="9" t="str">
        <x:v>IEEE·YOUR.GG 본문 접근 제한</x:v>
      </x:c>
      <x:c r="C13" s="9" t="str">
        <x:v>직접 근거 검증 부족</x:v>
      </x:c>
      <x:c r="D13" s="9" t="str">
        <x:v>기획서 간접 인용으로 표시하고 논문 상세·성과 수치 추정 금지</x:v>
      </x:c>
      <x:c r="E13" s="9" t="str">
        <x:v>NFR-4.2</x:v>
      </x:c>
    </x:row>
    <x:row r="14" ht="34" customHeight="1">
      <x:c r="A14" s="10" t="str">
        <x:v>실무 검증</x:v>
      </x:c>
      <x:c r="B14" s="10" t="str">
        <x:v>실제 운영 담당자·개입 실험 미확보</x:v>
      </x:c>
      <x:c r="C14" s="10" t="str">
        <x:v>업무 시간·이탈 감소 입증 불가</x:v>
      </x:c>
      <x:c r="D14" s="10" t="str">
        <x:v>게임 운영 담당자 인터뷰 일정 없음. 오프라인 모델 지표를 검증하고 실제 운영자 평가가 없는 업무 효과는 미검증으로 보고</x:v>
      </x:c>
      <x:c r="E14" s="10" t="str">
        <x:v>NFR-4.3</x:v>
      </x:c>
    </x:row>
    <x:row r="15" ht="110" customHeight="1">
      <x:c r="A15" s="9" t="str">
        <x:v>범위·자원</x:v>
      </x:c>
      <x:c r="B15" s="9" t="str">
        <x:v>수집은 팀원 4명 진행 중, 역할 배분 완료. 자원·라벨 확보량 및 Transformer 수행 여부 미확정</x:v>
      </x:c>
      <x:c r="C15" s="9" t="str">
        <x:v>추가 기능으로 일정 지연 가능</x:v>
      </x:c>
      <x:c r="D15" s="9" t="str">
        <x:v>필수 산출물 우선. 대시보드·시퀀스 모델 확장은 조건 충족 시 수행</x:v>
      </x:c>
      <x:c r="E15" s="9" t="str">
        <x:v>RF-3.3; RF-6.1</x:v>
      </x:c>
    </x:row>
    <x:row r="16">
      <x:c r="A16" s="2"/>
      <x:c r="B16" s="2"/>
      <x:c r="C16" s="2"/>
      <x:c r="D16" s="2"/>
      <x:c r="E16" s="2"/>
    </x:row>
    <x:row r="17">
      <x:c r="A17" s="2"/>
      <x:c r="B17" s="2"/>
      <x:c r="C17" s="2"/>
      <x:c r="D17" s="2"/>
      <x:c r="E17" s="2"/>
    </x:row>
    <x:row r="18" ht="28" customHeight="1">
      <x:c r="A18" s="14" t="str">
        <x:v>예상 결과와 판단</x:v>
      </x:c>
      <x:c r="B18" s="2"/>
      <x:c r="C18" s="2"/>
      <x:c r="D18" s="2"/>
      <x:c r="E18" s="2"/>
    </x:row>
    <x:row r="19" ht="32" customHeight="1">
      <x:c r="A19" s="8" t="str">
        <x:v>구분</x:v>
      </x:c>
      <x:c r="B19" s="8" t="str">
        <x:v>예상 결과</x:v>
      </x:c>
      <x:c r="C19" s="8" t="str">
        <x:v>확인 방법</x:v>
      </x:c>
      <x:c r="D19" s="8" t="str">
        <x:v>달성하지 못한 경우</x:v>
      </x:c>
      <x:c r="E19" s="8" t="str">
        <x:v>관련 요구사항</x:v>
      </x:c>
    </x:row>
    <x:row r="20" ht="34" customHeight="1">
      <x:c r="A20" s="10" t="str">
        <x:v>기술 성과</x:v>
      </x:c>
      <x:c r="B20" s="10" t="str">
        <x:v>최근성 기준선 대비 위험 유저 선별 개선</x:v>
      </x:c>
      <x:c r="C20" s="10" t="str">
        <x:v>최종 시험의 P@20%·Lift 비교</x:v>
      </x:c>
      <x:c r="D20" s="10" t="str">
        <x:v>목표 미달을 공개하고 기준선 대비 개선 여부·오류를 분석</x:v>
      </x:c>
      <x:c r="E20" s="10" t="str">
        <x:v>RF-3.4; KPI-01~02</x:v>
      </x:c>
    </x:row>
    <x:row r="21" ht="34" customHeight="1">
      <x:c r="A21" s="9" t="str">
        <x:v>학습 산출물</x:v>
      </x:c>
      <x:c r="B21" s="9" t="str">
        <x:v>전처리·학습 결과서와 추론 가능한 모델</x:v>
      </x:c>
      <x:c r="C21" s="9" t="str">
        <x:v>문서·데이터·모델의 일치 및 재실행</x:v>
      </x:c>
      <x:c r="D21" s="9" t="str">
        <x:v>누락 산출물 보완. 실험 미실행 부분은 미완료 표기</x:v>
      </x:c>
      <x:c r="E21" s="9" t="str">
        <x:v>RF-7.1~7.2</x:v>
      </x:c>
    </x:row>
    <x:row r="22" ht="34" customHeight="1">
      <x:c r="A22" s="10" t="str">
        <x:v>활용 가능성</x:v>
      </x:c>
      <x:c r="B22" s="10" t="str">
        <x:v>위험도와 요인으로 관리 대상 검토 지원</x:v>
      </x:c>
      <x:c r="C22" s="10" t="str">
        <x:v>사용 시나리오 시연. 실제 운영자 평가와 구분</x:v>
      </x:c>
      <x:c r="D22" s="10" t="str">
        <x:v>시연과 실무 검증을 구분해 보고</x:v>
      </x:c>
      <x:c r="E22" s="10" t="str">
        <x:v>RF-4.1; RF-5.1</x:v>
      </x:c>
    </x:row>
    <x:row r="23" ht="34" customHeight="1">
      <x:c r="A23" s="9" t="str">
        <x:v>사업 효과</x:v>
      </x:c>
      <x:c r="B23" s="9" t="str">
        <x:v>향후 캠페인 실험 설계에 활용 가능</x:v>
      </x:c>
      <x:c r="C23" s="9" t="str">
        <x:v>개입군·대조군의 재방문율 비교 필요</x:v>
      </x:c>
      <x:c r="D23" s="9" t="str">
        <x:v>본 프로젝트에서 이탈률·매출 개선 달성 주장 금지</x:v>
      </x:c>
      <x:c r="E23" s="9" t="str">
        <x:v>기획 §14</x:v>
      </x:c>
    </x:row>
    <x:row r="24">
      <x:c r="A24" s="2"/>
      <x:c r="B24" s="2"/>
      <x:c r="C24" s="2"/>
      <x:c r="D24" s="2"/>
      <x:c r="E24" s="2"/>
    </x:row>
    <x:row r="25">
      <x:c r="A25" s="2"/>
      <x:c r="B25" s="2"/>
      <x:c r="C25" s="2"/>
      <x:c r="D25" s="2"/>
      <x:c r="E25" s="2"/>
    </x:row>
    <x:row r="26" ht="28" customHeight="1">
      <x:c r="A26" s="14" t="str">
        <x:v>팀에서 확정할 항목</x:v>
      </x:c>
      <x:c r="B26" s="2"/>
      <x:c r="C26" s="2"/>
      <x:c r="D26" s="2"/>
      <x:c r="E26" s="2"/>
    </x:row>
    <x:row r="27" ht="32" customHeight="1">
      <x:c r="A27" s="8" t="str">
        <x:v>항목</x:v>
      </x:c>
      <x:c r="B27" s="8" t="str">
        <x:v>현재 상태</x:v>
      </x:c>
      <x:c r="C27" s="8" t="str">
        <x:v>결정 주체</x:v>
      </x:c>
      <x:c r="D27" s="8" t="str">
        <x:v>확정 기준</x:v>
      </x:c>
      <x:c r="E27" s="8" t="str">
        <x:v>목표 시점</x:v>
      </x:c>
    </x:row>
    <x:row r="28" ht="34" customHeight="1">
      <x:c r="A28" s="10" t="str">
        <x:v>queueId 목록</x:v>
      </x:c>
      <x:c r="B28" s="10" t="str">
        <x:v>미확정</x:v>
      </x:c>
      <x:c r="C28" s="10" t="str">
        <x:v>기획·수집</x:v>
      </x:c>
      <x:c r="D28" s="10" t="str">
        <x:v>조회 가능한 모드와 제외 목록 확정</x:v>
      </x:c>
      <x:c r="E28" s="10" t="str">
        <x:v>모델 학습 전</x:v>
      </x:c>
    </x:row>
    <x:row r="29" ht="34" customHeight="1">
      <x:c r="A29" s="9" t="str">
        <x:v>30일 정답 확보</x:v>
      </x:c>
      <x:c r="B29" s="9" t="str">
        <x:v>검증 필요</x:v>
      </x:c>
      <x:c r="C29" s="9" t="str">
        <x:v>데이터·검증</x:v>
      </x:c>
      <x:c r="D29" s="9" t="str">
        <x:v>전 기간·대상 모드 수집 근거 확보</x:v>
      </x:c>
      <x:c r="E29" s="9" t="str">
        <x:v>즉시</x:v>
      </x:c>
    </x:row>
    <x:row r="30" ht="110" customHeight="1">
      <x:c r="A30" s="10" t="str">
        <x:v>N·부족분 처리</x:v>
      </x:c>
      <x:c r="B30" s="10" t="str">
        <x:v>수집 상한 MAX 30 확인 / 최종 N 미확정</x:v>
      </x:c>
      <x:c r="C30" s="10" t="str">
        <x:v>모델·전처리</x:v>
      </x:c>
      <x:c r="D30" s="10" t="str">
        <x:v>학습·검증 자료에서 결정</x:v>
      </x:c>
      <x:c r="E30" s="10" t="str">
        <x:v>시험 전</x:v>
      </x:c>
    </x:row>
    <x:row r="31" ht="34" customHeight="1">
      <x:c r="A31" s="9" t="str">
        <x:v>KPI 목표</x:v>
      </x:c>
      <x:c r="B31" s="9" t="str">
        <x:v>제안값</x:v>
      </x:c>
      <x:c r="C31" s="9" t="str">
        <x:v>기획·모델</x:v>
      </x:c>
      <x:c r="D31" s="9" t="str">
        <x:v>5%p·1.5배·시간 20%의 실현 가능성 검토</x:v>
      </x:c>
      <x:c r="E31" s="9" t="str">
        <x:v>시험 전</x:v>
      </x:c>
    </x:row>
    <x:row r="32" ht="34" customHeight="1">
      <x:c r="A32" s="10" t="str">
        <x:v>담당자·제출 시각</x:v>
      </x:c>
      <x:c r="B32" s="10" t="str">
        <x:v>역할 배분 완료 / 제출 시각 미확정</x:v>
      </x:c>
      <x:c r="C32" s="10" t="str">
        <x:v>팀 전체</x:v>
      </x:c>
      <x:c r="D32" s="10" t="str">
        <x:v>역할분담 보고서 기준 담당 반영. 제출 마감 시각 확인</x:v>
      </x:c>
      <x:c r="E32" s="10" t="str">
        <x:v>발표 준비 전</x:v>
      </x:c>
    </x:row>
    <x:row r="33">
      <x:c r="A33" s="2"/>
      <x:c r="B33" s="2"/>
      <x:c r="C33" s="2"/>
      <x:c r="D33" s="2"/>
      <x:c r="E33" s="2"/>
    </x:row>
    <x:row r="34">
      <x:c r="A34" s="2"/>
      <x:c r="B34" s="2"/>
      <x:c r="C34" s="2"/>
      <x:c r="D34" s="2"/>
      <x:c r="E34" s="2"/>
    </x:row>
    <x:row r="35">
      <x:c r="A35" s="2"/>
      <x:c r="B35" s="2"/>
      <x:c r="C35" s="2"/>
      <x:c r="D35" s="2"/>
      <x:c r="E35" s="2"/>
    </x:row>
    <x:row r="36">
      <x:c r="A36" s="2"/>
      <x:c r="B36" s="2"/>
      <x:c r="C36" s="2"/>
      <x:c r="D36" s="2"/>
      <x:c r="E36" s="2"/>
    </x:row>
    <x:row r="37">
      <x:c r="A37" s="2"/>
      <x:c r="B37" s="2"/>
      <x:c r="C37" s="2"/>
      <x:c r="D37" s="2"/>
      <x:c r="E37" s="2"/>
    </x:row>
    <x:row r="38">
      <x:c r="A38" s="2"/>
      <x:c r="B38" s="2"/>
      <x:c r="C38" s="2"/>
      <x:c r="D38" s="2"/>
      <x:c r="E38" s="2"/>
    </x:row>
    <x:row r="39">
      <x:c r="A39" s="2"/>
      <x:c r="B39" s="2"/>
      <x:c r="C39" s="2"/>
      <x:c r="D39" s="2"/>
      <x:c r="E39" s="2"/>
    </x:row>
    <x:row r="40">
      <x:c r="A40" s="2"/>
      <x:c r="B40" s="2"/>
      <x:c r="C40" s="2"/>
      <x:c r="D40" s="2"/>
      <x:c r="E40" s="2"/>
    </x:row>
    <x:row r="41">
      <x:c r="A41" s="2"/>
      <x:c r="B41" s="2"/>
      <x:c r="C41" s="2"/>
      <x:c r="D41" s="2"/>
      <x:c r="E41" s="2"/>
    </x:row>
    <x:row r="42">
      <x:c r="A42" s="2"/>
      <x:c r="B42" s="2"/>
      <x:c r="C42" s="2"/>
      <x:c r="D42" s="2"/>
      <x:c r="E42" s="2"/>
    </x:row>
    <x:row r="43">
      <x:c r="A43" s="2"/>
      <x:c r="B43" s="2"/>
      <x:c r="C43" s="2"/>
      <x:c r="D43" s="2"/>
      <x:c r="E43" s="2"/>
    </x:row>
    <x:row r="44">
      <x:c r="A44" s="2"/>
      <x:c r="B44" s="2"/>
      <x:c r="C44" s="2"/>
      <x:c r="D44" s="2"/>
      <x:c r="E44" s="2"/>
    </x:row>
    <x:row r="45">
      <x:c r="A45" s="2"/>
      <x:c r="B45" s="2"/>
      <x:c r="C45" s="2"/>
      <x:c r="D45" s="2"/>
      <x:c r="E45" s="2"/>
    </x:row>
    <x:row r="46">
      <x:c r="A46" s="2"/>
      <x:c r="B46" s="2"/>
      <x:c r="C46" s="2"/>
      <x:c r="D46" s="2"/>
      <x:c r="E46" s="2"/>
    </x:row>
    <x:row r="47">
      <x:c r="A47" s="2"/>
      <x:c r="B47" s="2"/>
      <x:c r="C47" s="2"/>
      <x:c r="D47" s="2"/>
      <x:c r="E47" s="2"/>
    </x:row>
    <x:row r="48">
      <x:c r="A48" s="2"/>
      <x:c r="B48" s="2"/>
      <x:c r="C48" s="2"/>
      <x:c r="D48" s="2"/>
      <x:c r="E48" s="2"/>
    </x:row>
    <x:row r="49">
      <x:c r="A49" s="2"/>
      <x:c r="B49" s="2"/>
      <x:c r="C49" s="2"/>
      <x:c r="D49" s="2"/>
      <x:c r="E49" s="2"/>
    </x:row>
    <x:row r="50">
      <x:c r="A50" s="2"/>
      <x:c r="B50" s="2"/>
      <x:c r="C50" s="2"/>
      <x:c r="D50" s="2"/>
      <x:c r="E50" s="2"/>
    </x:row>
    <x:row r="51">
      <x:c r="A51" s="2"/>
      <x:c r="B51" s="2"/>
      <x:c r="C51" s="2"/>
      <x:c r="D51" s="2"/>
      <x:c r="E51" s="2"/>
    </x:row>
    <x:row r="52">
      <x:c r="A52" s="2"/>
      <x:c r="B52" s="2"/>
      <x:c r="C52" s="2"/>
      <x:c r="D52" s="2"/>
      <x:c r="E52" s="2"/>
    </x:row>
    <x:row r="53">
      <x:c r="A53" s="2"/>
      <x:c r="B53" s="2"/>
      <x:c r="C53" s="2"/>
      <x:c r="D53" s="2"/>
      <x:c r="E53" s="2"/>
    </x:row>
    <x:row r="54">
      <x:c r="A54" s="2"/>
      <x:c r="B54" s="2"/>
      <x:c r="C54" s="2"/>
      <x:c r="D54" s="2"/>
      <x:c r="E54" s="2"/>
    </x:row>
    <x:row r="55">
      <x:c r="A55" s="2"/>
      <x:c r="B55" s="2"/>
      <x:c r="C55" s="2"/>
      <x:c r="D55" s="2"/>
      <x:c r="E55" s="2"/>
    </x:row>
  </x:sheetData>
  <x:pageMargins left="0.7" right="0.7" top="0.75" bottom="0.75" header="0.3" footer="0.3"/>
  <x:tableParts count="3">
    <x:tablePart xmlns:r="http://schemas.openxmlformats.org/officeDocument/2006/relationships" r:id="R53f2547c217f4954"/>
    <x:tablePart xmlns:r="http://schemas.openxmlformats.org/officeDocument/2006/relationships" r:id="Rf20d1e807ec14b65"/>
    <x:tablePart xmlns:r="http://schemas.openxmlformats.org/officeDocument/2006/relationships" r:id="R23a7e274d64c469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43" hidden="0" customWidth="1"/>
    <x:col min="3" max="3" width="51" hidden="0" customWidth="1"/>
    <x:col min="4" max="4" width="57" hidden="0" customWidth="1"/>
    <x:col min="5" max="5" width="40" hidden="0" customWidth="1"/>
    <x:col min="6" max="6" width="30" hidden="0" customWidth="1"/>
  </x:cols>
  <x:sheetData>
    <x:row r="1">
      <x:c r="A1" s="2"/>
      <x:c r="B1" s="2"/>
      <x:c r="C1" s="2"/>
      <x:c r="D1" s="2"/>
      <x:c r="E1" s="2"/>
      <x:c r="F1" s="2"/>
    </x:row>
    <x:row r="2" ht="30" customHeight="1">
      <x:c r="A2" s="3" t="str">
        <x:v>데이터 정의와 근거 자료</x:v>
      </x:c>
      <x:c r="B2" s="2"/>
      <x:c r="C2" s="2"/>
      <x:c r="D2" s="2"/>
      <x:c r="E2" s="2"/>
      <x:c r="F2" s="2"/>
    </x:row>
    <x:row r="3" ht="25" customHeight="1">
      <x:c r="A3" s="4" t="str">
        <x:v>D1=Mendeley · D2=Kaggle · D3=Riot API | 출처 목록은 이 시트 하단</x:v>
      </x:c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32" customHeight="1">
      <x:c r="A5" s="8" t="str">
        <x:v>항목</x:v>
      </x:c>
      <x:c r="B5" s="8" t="str">
        <x:v>정의·역할</x:v>
      </x:c>
      <x:c r="C5" s="8" t="str">
        <x:v>처리 요구</x:v>
      </x:c>
      <x:c r="D5" s="8" t="str">
        <x:v>검증·주의</x:v>
      </x:c>
      <x:c r="E5" s="8" t="str">
        <x:v>관련 요구사항</x:v>
      </x:c>
      <x:c r="F5" s="8" t="str">
        <x:v>근거</x:v>
      </x:c>
    </x:row>
    <x:row r="6" ht="42" customHeight="1">
      <x:c r="A6" s="10" t="str">
        <x:v>PUUID / CASE</x:v>
      </x:c>
      <x:c r="B6" s="10" t="str">
        <x:v>PUUID는 경기 연결 키. CASE는 Mendeley 행 번호</x:v>
      </x:c>
      <x:c r="C6" s="10" t="str">
        <x:v>PUUID·CASE 모두 모델 입력 제외</x:v>
      </x:c>
      <x:c r="D6" s="10" t="str">
        <x:v>CASE를 API 유저 식별자로 쓰거나 자료끼리 직접 병합하지 않음</x:v>
      </x:c>
      <x:c r="E6" s="10" t="str">
        <x:v>RF-1.2; NFR-3.2</x:v>
      </x:c>
      <x:c r="F6" s="10" t="str">
        <x:v>D1·D3; 기획 §7</x:v>
      </x:c>
    </x:row>
    <x:row r="7" ht="34" customHeight="1">
      <x:c r="A7" s="9" t="str">
        <x:v>matchId / queueId</x:v>
      </x:c>
      <x:c r="B7" s="9" t="str">
        <x:v>경기 식별자 / 모드 식별자</x:v>
      </x:c>
      <x:c r="C7" s="9" t="str">
        <x:v>원본 보존, 대상 유저 행 추출, 경기 중복 제거</x:v>
      </x:c>
      <x:c r="D7" s="9" t="str">
        <x:v>queueId 목록과 제외 범위를 고정</x:v>
      </x:c>
      <x:c r="E7" s="9" t="str">
        <x:v>RF-1.3~1.5</x:v>
      </x:c>
      <x:c r="F7" s="9" t="str">
        <x:v>D2·D3; 설계1</x:v>
      </x:c>
    </x:row>
    <x:row r="8" ht="34" customHeight="1">
      <x:c r="A8" s="10" t="str">
        <x:v>경기 시각 / T</x:v>
      </x:c>
      <x:c r="B8" s="10" t="str">
        <x:v>입력 [T-28일,T), 라벨 [T,T+30일) 제안</x:v>
      </x:c>
      <x:c r="C8" s="10" t="str">
        <x:v>시간대·시작/종료 시각 선택 규칙 기록</x:v>
      </x:c>
      <x:c r="D8" s="10" t="str">
        <x:v>로그인 시각과 구분. 경계 사례 점검</x:v>
      </x:c>
      <x:c r="E8" s="10" t="str">
        <x:v>RF-2.3</x:v>
      </x:c>
      <x:c r="F8" s="10" t="str">
        <x:v>기획 §6; 구현 제안</x:v>
      </x:c>
    </x:row>
    <x:row r="9" ht="42" customHeight="1">
      <x:c r="A9" s="9" t="str">
        <x:v>churn / 수집 상태</x:v>
      </x:c>
      <x:c r="B9" s="9" t="str">
        <x:v>30일 무경기 1, 참여 0, 근거 부족 미확정</x:v>
      </x:c>
      <x:c r="C9" s="9" t="str">
        <x:v>학습에는 검증된 정답만 사용</x:v>
      </x:c>
      <x:c r="D9" s="9" t="str">
        <x:v>최근 N경기 부족과 무경기를 혼동하지 않음</x:v>
      </x:c>
      <x:c r="E9" s="9" t="str">
        <x:v>RF-2.6~2.7</x:v>
      </x:c>
      <x:c r="F9" s="9" t="str">
        <x:v>기획 §6; 설계1</x:v>
      </x:c>
    </x:row>
    <x:row r="10" ht="95" customHeight="1">
      <x:c r="A10" s="10" t="str">
        <x:v>최근 N경기</x:v>
      </x:c>
      <x:c r="B10" s="10" t="str">
        <x:v>수집 안내서상 최근 최대30경기; 모델 입력 길이 N은 별도 확정</x:v>
      </x:c>
      <x:c r="C10" s="10" t="str">
        <x:v>시각순 정렬, queueId 유지, N·패딩·마스킹 기록</x:v>
      </x:c>
      <x:c r="D10" s="10" t="str">
        <x:v>28일 관찰 구간 준수. 부족 이력 패딩·마스킹, 미래 보충 금지</x:v>
      </x:c>
      <x:c r="E10" s="10" t="str">
        <x:v>RF-2.5</x:v>
      </x:c>
      <x:c r="F10" s="10" t="str">
        <x:v>기획 §7.1; 설계1</x:v>
      </x:c>
    </x:row>
    <x:row r="11" ht="42" customHeight="1">
      <x:c r="A11" s="9" t="str">
        <x:v>28일 집계·14일 변화</x:v>
      </x:c>
      <x:c r="B11" s="9" t="str">
        <x:v>경기 수·활동일·최근성·간격·성과·모드 변화</x:v>
      </x:c>
      <x:c r="C11" s="9" t="str">
        <x:v>분모·비교 구간·단위 정의</x:v>
      </x:c>
      <x:c r="D11" s="9" t="str">
        <x:v>구간 이전 이력 필요 여부·경기 1회 예외 기록</x:v>
      </x:c>
      <x:c r="E11" s="9" t="str">
        <x:v>RF-2.4</x:v>
      </x:c>
      <x:c r="F11" s="9" t="str">
        <x:v>기획 §7.2</x:v>
      </x:c>
    </x:row>
    <x:row r="12" ht="34" customHeight="1">
      <x:c r="A12" s="10" t="str">
        <x:v>TIER / LP / LEVEL</x:v>
      </x:c>
      <x:c r="B12" s="10" t="str">
        <x:v>티어 / 리그 포인트 / 계정 레벨 후보</x:v>
      </x:c>
      <x:c r="C12" s="10" t="str">
        <x:v>예측 시점에 알 수 있었던 값만 채택</x:v>
      </x:c>
      <x:c r="D12" s="10" t="str">
        <x:v>현재 조회값의 과거 기준일 사용 금지</x:v>
      </x:c>
      <x:c r="E12" s="10" t="str">
        <x:v>RF-2.2; NFR-2.2</x:v>
      </x:c>
      <x:c r="F12" s="10" t="str">
        <x:v>D1; 설계2</x:v>
      </x:c>
    </x:row>
    <x:row r="13" ht="34" customHeight="1">
      <x:c r="A13" s="9" t="str">
        <x:v>WINLOSEPER</x:v>
      </x:c>
      <x:c r="B13" s="9" t="str">
        <x:v>전체 승·패·승률 문자열 후보</x:v>
      </x:c>
      <x:c r="C13" s="9" t="str">
        <x:v>승·패·승률 분리, 범위·분모 확인</x:v>
      </x:c>
      <x:c r="D13" s="9" t="str">
        <x:v>집계 기간 확인 전 의미 확정 금지</x:v>
      </x:c>
      <x:c r="E13" s="9" t="str">
        <x:v>RF-2.2</x:v>
      </x:c>
      <x:c r="F13" s="9" t="str">
        <x:v>D1; 설계2</x:v>
      </x:c>
    </x:row>
    <x:row r="14" ht="34" customHeight="1">
      <x:c r="A14" s="10" t="str">
        <x:v>AVSCORE</x:v>
      </x:c>
      <x:c r="B14" s="10" t="str">
        <x:v>평균 성과 지표 후보</x:v>
      </x:c>
      <x:c r="C14" s="10" t="str">
        <x:v>산식 확인 후 사용 결정</x:v>
      </x:c>
      <x:c r="D14" s="10" t="str">
        <x:v>KDA로 단정하지 않음</x:v>
      </x:c>
      <x:c r="E14" s="10" t="str">
        <x:v>RF-2.2</x:v>
      </x:c>
      <x:c r="F14" s="10" t="str">
        <x:v>D1; 설계2</x:v>
      </x:c>
    </x:row>
    <x:row r="15" ht="34" customHeight="1">
      <x:c r="A15" s="9" t="str">
        <x:v>LASTWINLOSE</x:v>
      </x:c>
      <x:c r="B15" s="9" t="str">
        <x:v>최근 승·패·승률 후보</x:v>
      </x:c>
      <x:c r="C15" s="9" t="str">
        <x:v>세 값 분리, 최근의 경기 수·기간 확인</x:v>
      </x:c>
      <x:c r="D15" s="9" t="str">
        <x:v>분모·기간 검증 필요</x:v>
      </x:c>
      <x:c r="E15" s="9" t="str">
        <x:v>RF-2.2</x:v>
      </x:c>
      <x:c r="F15" s="9" t="str">
        <x:v>D1; 설계2</x:v>
      </x:c>
    </x:row>
    <x:row r="16" ht="42" customHeight="1">
      <x:c r="A16" s="10" t="str">
        <x:v>WIN DUMMY / LOSING STREAK</x:v>
      </x:c>
      <x:c r="B16" s="10" t="str">
        <x:v>파생 승패 항목 / 연패 횟수 후보</x:v>
      </x:c>
      <x:c r="C16" s="10" t="str">
        <x:v>WIN DUMMY 중복 제거 검토; 연패 산식 확인</x:v>
      </x:c>
      <x:c r="D16" s="10" t="str">
        <x:v>WIN DUMMY는 이탈 라벨 아님</x:v>
      </x:c>
      <x:c r="E16" s="10" t="str">
        <x:v>RF-2.2</x:v>
      </x:c>
      <x:c r="F16" s="10" t="str">
        <x:v>D1; 설계2</x:v>
      </x:c>
    </x:row>
    <x:row r="17" ht="42" customHeight="1">
      <x:c r="A17" s="9" t="str">
        <x:v>LASTLOGIN / OBS DATE / DATE</x:v>
      </x:c>
      <x:c r="B17" s="9" t="str">
        <x:v>마지막 활동·관측·공통 날짜 후보</x:v>
      </x:c>
      <x:c r="C17" s="9" t="str">
        <x:v>날짜 해석·상수 확인 후 탐색; DATE 입력 제외 검토</x:v>
      </x:c>
      <x:c r="D17" s="9" t="str">
        <x:v>두 날짜만으로 이후 30일 정답 생성 불가</x:v>
      </x:c>
      <x:c r="E17" s="9" t="str">
        <x:v>RF-2.2; RF-2.6</x:v>
      </x:c>
      <x:c r="F17" s="9" t="str">
        <x:v>D1; 기획 §8.4</x:v>
      </x:c>
    </x:row>
    <x:row r="18" ht="42" customHeight="1">
      <x:c r="A18" s="10" t="str">
        <x:v>NO TEAM PARTICIPANTS / NO TEAM GAMES</x:v>
      </x:c>
      <x:c r="B18" s="10" t="str">
        <x:v>팀 관련 수·경기 수 후보</x:v>
      </x:c>
      <x:c r="C18" s="10" t="str">
        <x:v>집계 정의·기간 확인 후 채택</x:v>
      </x:c>
      <x:c r="D18" s="10" t="str">
        <x:v>친구·듀오 관계를 의미한다고 단정하지 않음</x:v>
      </x:c>
      <x:c r="E18" s="10" t="str">
        <x:v>RF-2.2; NFR-4.1</x:v>
      </x:c>
      <x:c r="F18" s="10" t="str">
        <x:v>D1; 설계2</x:v>
      </x:c>
    </x:row>
    <x:row r="19" ht="42" customHeight="1">
      <x:c r="A19" s="9" t="str">
        <x:v>TEAM WINRATE / TEAM WIN / TEAM LOSE</x:v>
      </x:c>
      <x:c r="B19" s="9" t="str">
        <x:v>팀 승률·승패 후보</x:v>
      </x:c>
      <x:c r="C19" s="9" t="str">
        <x:v>문자열 분리, 분모·중복 점검</x:v>
      </x:c>
      <x:c r="D19" s="9" t="str">
        <x:v>팀의 정의와 집계 시점 확인</x:v>
      </x:c>
      <x:c r="E19" s="9" t="str">
        <x:v>RF-2.2</x:v>
      </x:c>
      <x:c r="F19" s="9" t="str">
        <x:v>D1; 설계2</x:v>
      </x:c>
    </x:row>
    <x:row r="20" ht="34" customHeight="1">
      <x:c r="A20" s="10" t="str">
        <x:v>NO CHAMPIONS PLAYED</x:v>
      </x:c>
      <x:c r="B20" s="10" t="str">
        <x:v>사용 챔피언 수 후보</x:v>
      </x:c>
      <x:c r="C20" s="10" t="str">
        <x:v>누적/최근 여부 확인</x:v>
      </x:c>
      <x:c r="D20" s="10" t="str">
        <x:v>미래 구간 포함 여부 확인</x:v>
      </x:c>
      <x:c r="E20" s="10" t="str">
        <x:v>RF-2.2</x:v>
      </x:c>
      <x:c r="F20" s="10" t="str">
        <x:v>D1; 설계2</x:v>
      </x:c>
    </x:row>
    <x:row r="21" ht="42" customHeight="1">
      <x:c r="A21" s="9" t="str">
        <x:v>T_POSITION / P_NO POSITION</x:v>
      </x:c>
      <x:c r="B21" s="9" t="str">
        <x:v>주 포지션 / 포지션 수 후보</x:v>
      </x:c>
      <x:c r="C21" s="9" t="str">
        <x:v>문자 깨짐·허용 범위·매핑 확인</x:v>
      </x:c>
      <x:c r="D21" s="9" t="str">
        <x:v>추정 복원 금지, 모드별 적용 가능성 확인</x:v>
      </x:c>
      <x:c r="E21" s="9" t="str">
        <x:v>RF-2.2</x:v>
      </x:c>
      <x:c r="F21" s="9" t="str">
        <x:v>D1; 설계2</x:v>
      </x:c>
    </x:row>
    <x:row r="22" ht="42" customHeight="1">
      <x:c r="A22" s="10" t="str">
        <x:v>START SEASON / SEASON TIER</x:v>
      </x:c>
      <x:c r="B22" s="10" t="str">
        <x:v>시작 시즌·해당 티어 후보</x:v>
      </x:c>
      <x:c r="C22" s="10" t="str">
        <x:v>원 정의·시즌 형식·결측 처리 기록</x:v>
      </x:c>
      <x:c r="D22" s="10" t="str">
        <x:v>기존 점검에서 각 478개 결측</x:v>
      </x:c>
      <x:c r="E22" s="10" t="str">
        <x:v>RF-2.2</x:v>
      </x:c>
      <x:c r="F22" s="10" t="str">
        <x:v>D1; 기존 파일 점검</x:v>
      </x:c>
    </x:row>
    <x:row r="23" ht="42" customHeight="1">
      <x:c r="A23" s="9" t="str">
        <x:v>LAST SEASON / LAST TIER</x:v>
      </x:c>
      <x:c r="B23" s="9" t="str">
        <x:v>이전 시즌 관련 후보</x:v>
      </x:c>
      <x:c r="C23" s="9" t="str">
        <x:v>시즌 관계·측정 시점·결측 확인</x:v>
      </x:c>
      <x:c r="D23" s="9" t="str">
        <x:v>기존 점검에서 각 478개 결측</x:v>
      </x:c>
      <x:c r="E23" s="9" t="str">
        <x:v>RF-2.2</x:v>
      </x:c>
      <x:c r="F23" s="9" t="str">
        <x:v>D1; 기존 파일 점검</x:v>
      </x:c>
    </x:row>
    <x:row r="24" ht="42" customHeight="1">
      <x:c r="A24" s="10" t="str">
        <x:v>TOTAL HOUR / TOTAL MIN / TOTAL DAY</x:v>
      </x:c>
      <x:c r="B24" s="10" t="str">
        <x:v>총 시간 관련 후보</x:v>
      </x:c>
      <x:c r="C24" s="10" t="str">
        <x:v>환산 관계 확인 후 대표 변수 선택</x:v>
      </x:c>
      <x:c r="D24" s="10" t="str">
        <x:v>열 이름만 보고 단위 확정·임의 환산 금지</x:v>
      </x:c>
      <x:c r="E24" s="10" t="str">
        <x:v>RF-2.2</x:v>
      </x:c>
      <x:c r="F24" s="10" t="str">
        <x:v>D1; 기획 §8.3</x:v>
      </x:c>
    </x:row>
    <x:row r="25" ht="34" customHeight="1">
      <x:c r="A25" s="9" t="str">
        <x:v>TOTAL MATCH</x:v>
      </x:c>
      <x:c r="B25" s="9" t="str">
        <x:v>전체 경기 수 후보</x:v>
      </x:c>
      <x:c r="C25" s="9" t="str">
        <x:v>집계 기간·측정 시점 확인 후 채택</x:v>
      </x:c>
      <x:c r="D25" s="9" t="str">
        <x:v>누적 값만으로 최근 변화를 복원할 수 없음</x:v>
      </x:c>
      <x:c r="E25" s="9" t="str">
        <x:v>RF-2.2</x:v>
      </x:c>
      <x:c r="F25" s="9" t="str">
        <x:v>D1; 설계2</x:v>
      </x:c>
    </x:row>
    <x:row r="26">
      <x:c r="A26" s="2"/>
      <x:c r="B26" s="2"/>
      <x:c r="C26" s="2"/>
      <x:c r="D26" s="2"/>
      <x:c r="E26" s="2"/>
      <x:c r="F26" s="2"/>
    </x:row>
    <x:row r="27">
      <x:c r="A27" s="2"/>
      <x:c r="B27" s="2"/>
      <x:c r="C27" s="2"/>
      <x:c r="D27" s="2"/>
      <x:c r="E27" s="2"/>
      <x:c r="F27" s="2"/>
    </x:row>
    <x:row r="28" ht="28" customHeight="1">
      <x:c r="A28" s="14" t="str">
        <x:v>출처 목록과 확인 수준</x:v>
      </x:c>
      <x:c r="B28" s="2"/>
      <x:c r="C28" s="2"/>
      <x:c r="D28" s="2"/>
      <x:c r="E28" s="2"/>
      <x:c r="F28" s="2"/>
    </x:row>
    <x:row r="29" ht="32" customHeight="1">
      <x:c r="A29" s="8" t="str">
        <x:v>출처 ID</x:v>
      </x:c>
      <x:c r="B29" s="8" t="str">
        <x:v>자료명</x:v>
      </x:c>
      <x:c r="C29" s="8" t="str">
        <x:v>위치·URL</x:v>
      </x:c>
      <x:c r="D29" s="8" t="str">
        <x:v>요구사항 반영</x:v>
      </x:c>
      <x:c r="E29" s="8" t="str">
        <x:v>확인 수준</x:v>
      </x:c>
      <x:c r="F29" s="8" t="str">
        <x:v>해석 한계</x:v>
      </x:c>
    </x:row>
    <x:row r="30" ht="42" customHeight="1">
      <x:c r="A30" s="10" t="str">
        <x:v>강의</x:v>
      </x:c>
      <x:c r="B30" s="10" t="str">
        <x:v>week01_AI기획프로세스_문제정의.zip</x:v>
      </x:c>
      <x:c r="C30" s="10" t="str">
        <x:v>Day02~05와 day05/프로젝트/요구사항정의서.xlsx</x:v>
      </x:c>
      <x:c r="D30" s="10" t="str">
        <x:v>5개 시트·Main/Sub·상태·출처·수용여부·변경내역 구조 반영</x:v>
      </x:c>
      <x:c r="E30" s="10" t="str">
        <x:v>2026-09-21 직접 확인</x:v>
      </x:c>
      <x:c r="F30" s="10" t="str">
        <x:v>로컬 강의 자료</x:v>
      </x:c>
    </x:row>
    <x:row r="31" ht="42" customHeight="1">
      <x:c r="A31" s="9" t="str">
        <x:v>기획</x:v>
      </x:c>
      <x:c r="B31" s="9" t="str">
        <x:v>2차 단위 프로젝트 4팀 기획 초안 v0.2</x:v>
      </x:c>
      <x:c r="C31" s="9" t="str">
        <x:v>2차_단위_프로젝트_4팀_기획초안_v0.2.pdf</x:v>
      </x:c>
      <x:c r="D31" s="9" t="str">
        <x:v>최신 설계 기준. 28일·30일·주요 모드·N·KPI·9/29 일정</x:v>
      </x:c>
      <x:c r="E31" s="9" t="str">
        <x:v>2026-09-21 직접 확인</x:v>
      </x:c>
      <x:c r="F31" s="9" t="str">
        <x:v>§1~14, 참고문헌</x:v>
      </x:c>
    </x:row>
    <x:row r="32" ht="42" customHeight="1">
      <x:c r="A32" s="10" t="str">
        <x:v>시장자료</x:v>
      </x:c>
      <x:c r="B32" s="10" t="str">
        <x:v>롤 시장조사.docx</x:v>
      </x:c>
      <x:c r="C32" s="10" t="str">
        <x:v>롤 시장조사.docx</x:v>
      </x:c>
      <x:c r="D32" s="10" t="str">
        <x:v>시장·경쟁 관점 참고. 7/30일·상위10% 제안보다 최신 기획의 28일·상위20% 우선</x:v>
      </x:c>
      <x:c r="E32" s="10" t="str">
        <x:v>2026-09-21 직접 확인</x:v>
      </x:c>
      <x:c r="F32" s="10" t="str">
        <x:v>원문 웹 확인일 2026-09-18</x:v>
      </x:c>
    </x:row>
    <x:row r="33" ht="34" customHeight="1">
      <x:c r="A33" s="9" t="str">
        <x:v>설계1</x:v>
      </x:c>
      <x:c r="B33" s="9" t="str">
        <x:v>MATCH-V5.txt</x:v>
      </x:c>
      <x:c r="C33" s="9" t="str">
        <x:v>MATCH-V5.txt</x:v>
      </x:c>
      <x:c r="D33" s="9" t="str">
        <x:v>주요 모드 수집·queueId·최근 N경기·향후30일 라벨</x:v>
      </x:c>
      <x:c r="E33" s="9" t="str">
        <x:v>2026-09-21 직접 확인</x:v>
      </x:c>
      <x:c r="F33" s="9" t="str">
        <x:v>공식 API 라벨 정의가 아님</x:v>
      </x:c>
    </x:row>
    <x:row r="34" ht="42" customHeight="1">
      <x:c r="A34" s="10" t="str">
        <x:v>설계2</x:v>
      </x:c>
      <x:c r="B34" s="10" t="str">
        <x:v>LOL RAW DATA 컬럼 정리</x:v>
      </x:c>
      <x:c r="C34" s="10" t="str">
        <x:v>[LOL RAW DATA 컬럼 정리].txt</x:v>
      </x:c>
      <x:c r="D34" s="10" t="str">
        <x:v>28개 컬럼 처리 제안. 의미와 단위를 공식 확정하지 않음</x:v>
      </x:c>
      <x:c r="E34" s="10" t="str">
        <x:v>2026-09-21 직접 확인</x:v>
      </x:c>
      <x:c r="F34" s="10" t="str">
        <x:v>기획 §8의 유보 조건 적용</x:v>
      </x:c>
    </x:row>
    <x:row r="35" ht="42" customHeight="1">
      <x:c r="A35" s="9" t="str">
        <x:v>D1</x:v>
      </x:c>
      <x:c r="B35" s="9" t="str">
        <x:v>Mendeley LOL RAW DATA</x:v>
      </x:c>
      <x:c r="C35" s="9" t="str">
        <x:v>https://data.mendeley.com/datasets/74drmd922j/1</x:v>
      </x:c>
      <x:c r="D35" s="9" t="str">
        <x:v>한국 시즌13, 295,486 cases, CC BY 4.0. 로컬 기존 점검은 28컬럼</x:v>
      </x:c>
      <x:c r="E35" s="9" t="str">
        <x:v>2026-09-21 소개 재확인</x:v>
      </x:c>
      <x:c r="F35" s="9" t="str">
        <x:v>행 수가 고유 유저 수라는 뜻은 아님</x:v>
      </x:c>
    </x:row>
    <x:row r="36" ht="42" customHeight="1">
      <x:c r="A36" s="10" t="str">
        <x:v>D2</x:v>
      </x:c>
      <x:c r="B36" s="10" t="str">
        <x:v>League of Legends Summoners and Match Data</x:v>
      </x:c>
      <x:c r="C36" s="10" t="str">
        <x:v>https://www.kaggle.com/datasets/chiniczr/league-of-legends-summoners-and-match-data</x:v>
      </x:c>
      <x:c r="D36" s="10" t="str">
        <x:v>경기 원본의 식별자·queueId·기간 검토 후보</x:v>
      </x:c>
      <x:c r="E36" s="10" t="str">
        <x:v>이번 조회 본문 미수신</x:v>
      </x:c>
      <x:c r="F36" s="10" t="str">
        <x:v>소개는 이전 대화에서 확인; 원본은 미검토</x:v>
      </x:c>
    </x:row>
    <x:row r="37" ht="42" customHeight="1">
      <x:c r="A37" s="9" t="str">
        <x:v>D3 / 시장9</x:v>
      </x:c>
      <x:c r="B37" s="9" t="str">
        <x:v>Riot API 목록</x:v>
      </x:c>
      <x:c r="C37" s="9" t="str">
        <x:v>https://developer.riotgames.com/apis</x:v>
      </x:c>
      <x:c r="D37" s="9" t="str">
        <x:v>League-V4·Match-V5 수집 경로. 실제 반환값으로 스키마 확인</x:v>
      </x:c>
      <x:c r="E37" s="9" t="str">
        <x:v>2026-09-21 목록 확인</x:v>
      </x:c>
      <x:c r="F37" s="9" t="str">
        <x:v>동적 상세 스키마는 이번에 재검증하지 않음</x:v>
      </x:c>
    </x:row>
    <x:row r="38" ht="42" customHeight="1">
      <x:c r="A38" s="10" t="str">
        <x:v>시장1</x:v>
      </x:c>
      <x:c r="B38" s="10" t="str">
        <x:v>KOCCA 2025 대한민국 게임백서</x:v>
      </x:c>
      <x:c r="C38" s="10" t="str">
        <x:v>https://welcon.kocca.kr/ko/info/report/1957733</x:v>
      </x:c>
      <x:c r="D38" s="10" t="str">
        <x:v>시장 배경 문헌. 수치로 모델 목표·표본 규모를 도출하지 않음</x:v>
      </x:c>
      <x:c r="E38" s="10" t="str">
        <x:v>원문 페이지 접근 확인</x:v>
      </x:c>
      <x:c r="F38" s="10" t="str">
        <x:v>기획서의 수치는 조사 기준연도에 한정</x:v>
      </x:c>
    </x:row>
    <x:row r="39" ht="42" customHeight="1">
      <x:c r="A39" s="9" t="str">
        <x:v>시장2</x:v>
      </x:c>
      <x:c r="B39" s="9" t="str">
        <x:v>KOCCA 2025 게임이용자 실태조사</x:v>
      </x:c>
      <x:c r="C39" s="9" t="str">
        <x:v>https://welcon.kocca.kr/ko/info/report/1956850</x:v>
      </x:c>
      <x:c r="D39" s="9" t="str">
        <x:v>게임 이용 기반 참고. LoL 고유 이용자 수와 구분</x:v>
      </x:c>
      <x:c r="E39" s="9" t="str">
        <x:v>원문 페이지 접근 확인</x:v>
      </x:c>
      <x:c r="F39" s="9" t="str">
        <x:v>시장 지표를 이탈 라벨 근거로 사용하지 않음</x:v>
      </x:c>
    </x:row>
    <x:row r="40" ht="42" customHeight="1">
      <x:c r="A40" s="10" t="str">
        <x:v>시장3</x:v>
      </x:c>
      <x:c r="B40" s="10" t="str">
        <x:v>게임트릭스</x:v>
      </x:c>
      <x:c r="C40" s="10" t="str">
        <x:v>https://www.gametrics.com/</x:v>
      </x:c>
      <x:c r="D40" s="10" t="str">
        <x:v>기획서의 2026-09-17 PC방 점유율 인용 출처</x:v>
      </x:c>
      <x:c r="E40" s="10" t="str">
        <x:v>해당 날짜 수치는 재검증 안 함</x:v>
      </x:c>
      <x:c r="F40" s="10" t="str">
        <x:v>PC방 사용시간 비율 ≠ 전체 유저 수</x:v>
      </x:c>
    </x:row>
    <x:row r="41" ht="42" customHeight="1">
      <x:c r="A41" s="9" t="str">
        <x:v>시장4</x:v>
      </x:c>
      <x:c r="B41" s="9" t="str">
        <x:v>OP.GG Desktop</x:v>
      </x:c>
      <x:c r="C41" s="9" t="str">
        <x:v>https://op.gg/desktop/ko</x:v>
      </x:c>
      <x:c r="D41" s="9" t="str">
        <x:v>공개 기능의 통계·빌드·플레이 지원 관점 확인</x:v>
      </x:c>
      <x:c r="E41" s="9" t="str">
        <x:v>2026-09-21 페이지 확인</x:v>
      </x:c>
      <x:c r="F41" s="9" t="str">
        <x:v>이탈 기능이 전혀 없다고 단정하지 않음</x:v>
      </x:c>
    </x:row>
    <x:row r="42" ht="42" customHeight="1">
      <x:c r="A42" s="10" t="str">
        <x:v>시장5</x:v>
      </x:c>
      <x:c r="B42" s="10" t="str">
        <x:v>FOW.KR Google Play</x:v>
      </x:c>
      <x:c r="C42" s="10" t="str">
        <x:v>https://play.google.com/store/apps/details?id=kr.fow.app&amp;hl=ko</x:v>
      </x:c>
      <x:c r="D42" s="10" t="str">
        <x:v>전적·챔피언·아이템 정보의 공개 기능 참고</x:v>
      </x:c>
      <x:c r="E42" s="10" t="str">
        <x:v>2026-09-21 페이지 확인</x:v>
      </x:c>
      <x:c r="F42" s="10" t="str">
        <x:v>스토어 설명 기준이며 전 기능 검증 아님</x:v>
      </x:c>
    </x:row>
    <x:row r="43" ht="42" customHeight="1">
      <x:c r="A43" s="9" t="str">
        <x:v>시장6</x:v>
      </x:c>
      <x:c r="B43" s="9" t="str">
        <x:v>YOUR.GG 멤버십</x:v>
      </x:c>
      <x:c r="C43" s="9" t="str">
        <x:v>https://your.gg/ko/kr/membership</x:v>
      </x:c>
      <x:c r="D43" s="9" t="str">
        <x:v>기획서에 기술된 AI 코칭 비교 출처 보존</x:v>
      </x:c>
      <x:c r="E43" s="9" t="str">
        <x:v>403 접근 제한</x:v>
      </x:c>
      <x:c r="F43" s="9" t="str">
        <x:v>기획서 간접 인용. 이번 직접 검증 아님</x:v>
      </x:c>
    </x:row>
    <x:row r="44" ht="57" customHeight="1">
      <x:c r="A44" s="10" t="str">
        <x:v>시장7</x:v>
      </x:c>
      <x:c r="B44" s="10" t="str">
        <x:v>Prediction of Player Churn and Disengagement Based on User Activity Data of a Freemium Online Strategy Game</x:v>
      </x:c>
      <x:c r="C44" s="10" t="str">
        <x:v>https://ieeexplore.ieee.org/document/9086074</x:v>
      </x:c>
      <x:c r="D44" s="10" t="str">
        <x:v>기획서가 인용한 활동 기반 이탈 연구 문헌</x:v>
      </x:c>
      <x:c r="E44" s="10" t="str">
        <x:v>자동접근 확인 화면으로 본문 미확인</x:v>
      </x:c>
      <x:c r="F44" s="10" t="str">
        <x:v>다른 게임의 성능·라벨을 LoL에 일반화하지 않음</x:v>
      </x:c>
    </x:row>
    <x:row r="45" ht="42" customHeight="1">
      <x:c r="A45" s="9" t="str">
        <x:v>시장8</x:v>
      </x:c>
      <x:c r="B45" s="9" t="str">
        <x:v>Riot Developer Portal</x:v>
      </x:c>
      <x:c r="C45" s="9" t="str">
        <x:v>https://developer.riotgames.com/</x:v>
      </x:c>
      <x:c r="D45" s="9" t="str">
        <x:v>공식 개발자 포털</x:v>
      </x:c>
      <x:c r="E45" s="9" t="str">
        <x:v>시장9·10 공식 문서와 함께 참고</x:v>
      </x:c>
      <x:c r="F45" s="9" t="str">
        <x:v>프로젝트 사용·수집 성공을 의미하지 않음</x:v>
      </x:c>
    </x:row>
    <x:row r="46" ht="42" customHeight="1">
      <x:c r="A46" s="10" t="str">
        <x:v>시장10</x:v>
      </x:c>
      <x:c r="B46" s="10" t="str">
        <x:v>Riot Developer Portal 문서</x:v>
      </x:c>
      <x:c r="C46" s="10" t="str">
        <x:v>https://developer.riotgames.com/docs/portal</x:v>
      </x:c>
      <x:c r="D46" s="10" t="str">
        <x:v>키 관리·만료·응답 코드·Retry-After 기반 재시도</x:v>
      </x:c>
      <x:c r="E46" s="10" t="str">
        <x:v>2026-09-21 문서 확인</x:v>
      </x:c>
      <x:c r="F46" s="10" t="str">
        <x:v>키 유형별 제한은 실제 응답·설정 확인</x:v>
      </x:c>
    </x:row>
    <x:row r="47">
      <x:c r="A47" s="2"/>
      <x:c r="B47" s="2"/>
      <x:c r="C47" s="2"/>
      <x:c r="D47" s="2"/>
      <x:c r="E47" s="2"/>
      <x:c r="F47" s="2"/>
    </x:row>
    <x:row r="48">
      <x:c r="A48" s="14" t="str">
        <x:v>v0.1 보완 근거</x:v>
      </x:c>
      <x:c r="B48" s="2"/>
      <x:c r="C48" s="2"/>
      <x:c r="D48" s="2"/>
      <x:c r="E48" s="2"/>
      <x:c r="F48" s="2"/>
    </x:row>
    <x:row r="49">
      <x:c r="A49" s="2"/>
      <x:c r="B49" s="2"/>
      <x:c r="C49" s="2"/>
      <x:c r="D49" s="2"/>
      <x:c r="E49" s="2"/>
      <x:c r="F49" s="2"/>
    </x:row>
    <x:row r="50" ht="32" customHeight="1">
      <x:c r="A50" s="24" t="str">
        <x:v>출처 ID</x:v>
      </x:c>
      <x:c r="B50" s="24" t="str">
        <x:v>자료명</x:v>
      </x:c>
      <x:c r="C50" s="24" t="str">
        <x:v>위치·URL</x:v>
      </x:c>
      <x:c r="D50" s="24" t="str">
        <x:v>요구사항 반영</x:v>
      </x:c>
      <x:c r="E50" s="24" t="str">
        <x:v>확인 수준</x:v>
      </x:c>
      <x:c r="F50" s="24" t="str">
        <x:v>해석 한계</x:v>
      </x:c>
    </x:row>
    <x:row r="51" ht="85" customHeight="1">
      <x:c r="A51" s="25" t="str">
        <x:v>수집1</x:v>
      </x:c>
      <x:c r="B51" s="25" t="str">
        <x:v>self-seed 팀원 실행 안내</x:v>
      </x:c>
      <x:c r="C51" s="25" t="str">
        <x:v>riot_churn_self_seed_bundle.zip / LoL_이탈예측_팀원_실행방법_자기APIKey.txt</x:v>
      </x:c>
      <x:c r="D51" s="25" t="str">
        <x:v>시드150 → cohort500 / 4인 개별 키 / MAX30 / 팀·배치 / 체크포인트</x:v>
      </x:c>
      <x:c r="E51" s="25" t="str">
        <x:v>2026-09-21 안내서 직접 확인; 수집 중은 사용자 확인</x:v>
      </x:c>
      <x:c r="F51" s="25" t="str">
        <x:v>ZIP은 안내문만 포함. 언급된 실행 코드·결과파일 검증 아님. PUUID 오류 해결 효과도 미검증</x:v>
      </x:c>
    </x:row>
    <x:row r="52">
      <x:c r="A52" s="2"/>
      <x:c r="B52" s="2"/>
      <x:c r="C52" s="2"/>
      <x:c r="D52" s="2"/>
      <x:c r="E52" s="2"/>
      <x:c r="F52" s="2"/>
    </x:row>
    <x:row r="53">
      <x:c r="A53" s="14" t="str">
        <x:v>self-seed 수집 산출물과 수용 기준</x:v>
      </x:c>
      <x:c r="B53" s="2"/>
      <x:c r="C53" s="2"/>
      <x:c r="D53" s="2"/>
      <x:c r="E53" s="2"/>
      <x:c r="F53" s="2"/>
    </x:row>
    <x:row r="54">
      <x:c r="A54" s="2"/>
      <x:c r="B54" s="2"/>
      <x:c r="C54" s="2"/>
      <x:c r="D54" s="2"/>
      <x:c r="E54" s="2"/>
      <x:c r="F54" s="2"/>
    </x:row>
    <x:row r="55" ht="32" customHeight="1">
      <x:c r="A55" s="24" t="str">
        <x:v>산출물</x:v>
      </x:c>
      <x:c r="B55" s="24" t="str">
        <x:v>역할</x:v>
      </x:c>
      <x:c r="C55" s="24" t="str">
        <x:v>관리 요구</x:v>
      </x:c>
      <x:c r="D55" s="24" t="str">
        <x:v>검증·주의</x:v>
      </x:c>
      <x:c r="E55" s="24" t="str">
        <x:v>관련 요구사항</x:v>
      </x:c>
      <x:c r="F55" s="24" t="str">
        <x:v>근거</x:v>
      </x:c>
    </x:row>
    <x:row r="56" ht="85" customHeight="1">
      <x:c r="A56" s="25" t="str">
        <x:v>01_seed_users.csv</x:v>
      </x:c>
      <x:c r="B56" s="25" t="str">
        <x:v>팀별 SoloQ 시드 목표150명</x:v>
      </x:c>
      <x:c r="C56" s="25" t="str">
        <x:v>team-id·batch-id·추출시점·키 맥락 기록(키 값 제외)</x:v>
      </x:c>
      <x:c r="D56" s="25" t="str">
        <x:v>실제 수·고유 수·선정 조건 확인</x:v>
      </x:c>
      <x:c r="E56" s="25" t="str">
        <x:v>RF-1.2</x:v>
      </x:c>
      <x:c r="F56" s="25" t="str">
        <x:v>수집1</x:v>
      </x:c>
    </x:row>
    <x:row r="57" ht="85" customHeight="1">
      <x:c r="A57" s="26" t="str">
        <x:v>02_cohort_users.csv</x:v>
      </x:c>
      <x:c r="B57" s="26" t="str">
        <x:v>주요 모드 참가자 확장 목표500명</x:v>
      </x:c>
      <x:c r="C57" s="26" t="str">
        <x:v>확장 경로·중복·완료 수 보존</x:v>
      </x:c>
      <x:c r="D57" s="26" t="str">
        <x:v>500명은 목표. 팀 합산과 고유 유저 수 구분</x:v>
      </x:c>
      <x:c r="E57" s="26" t="str">
        <x:v>RF-1.2; RF-1.6</x:v>
      </x:c>
      <x:c r="F57" s="26" t="str">
        <x:v>수집1</x:v>
      </x:c>
    </x:row>
    <x:row r="58" ht="85" customHeight="1">
      <x:c r="A58" s="25" t="str">
        <x:v>03_user_match_ids.csv</x:v>
      </x:c>
      <x:c r="B58" s="25" t="str">
        <x:v>유저별 경기 목록</x:v>
      </x:c>
      <x:c r="C58" s="25" t="str">
        <x:v>기간·queueId·페이지 완료·오류 관리</x:v>
      </x:c>
      <x:c r="D58" s="25" t="str">
        <x:v>입력/라벨 전체 기간 조회 증빙</x:v>
      </x:c>
      <x:c r="E58" s="25" t="str">
        <x:v>RF-1.4</x:v>
      </x:c>
      <x:c r="F58" s="25" t="str">
        <x:v>수집1</x:v>
      </x:c>
    </x:row>
    <x:row r="59" ht="85" customHeight="1">
      <x:c r="A59" s="26" t="str">
        <x:v>04_targets.csv</x:v>
      </x:c>
      <x:c r="B59" s="26" t="str">
        <x:v>이탈 타깃 후보</x:v>
      </x:c>
      <x:c r="C59" s="26" t="str">
        <x:v>기준일·30일 관찰·확정/미확정 보존</x:v>
      </x:c>
      <x:c r="D59" s="26" t="str">
        <x:v>원본 조회와 대조 후 학습 대상 확정</x:v>
      </x:c>
      <x:c r="E59" s="26" t="str">
        <x:v>RF-2.6~2.7</x:v>
      </x:c>
      <x:c r="F59" s="26" t="str">
        <x:v>수집1</x:v>
      </x:c>
    </x:row>
    <x:row r="60" ht="85" customHeight="1">
      <x:c r="A60" s="25" t="str">
        <x:v>05_raw_matches.csv</x:v>
      </x:c>
      <x:c r="B60" s="25" t="str">
        <x:v>경기·참가자 원본</x:v>
      </x:c>
      <x:c r="C60" s="25" t="str">
        <x:v>matchId·PUUID·시각·queueId 유지</x:v>
      </x:c>
      <x:c r="D60" s="25" t="str">
        <x:v>MAX30 범위와 28일 전체 집계 충족 여부 확인</x:v>
      </x:c>
      <x:c r="E60" s="25" t="str">
        <x:v>RF-1.5; RF-2.4</x:v>
      </x:c>
      <x:c r="F60" s="25" t="str">
        <x:v>수집1</x:v>
      </x:c>
    </x:row>
    <x:row r="61" ht="85" customHeight="1">
      <x:c r="A61" s="26" t="str">
        <x:v>06_ml_features.csv</x:v>
      </x:c>
      <x:c r="B61" s="26" t="str">
        <x:v>CatBoost/LightGBM 등 ML 입력 후보</x:v>
      </x:c>
      <x:c r="C61" s="26" t="str">
        <x:v>산식·집계 기간·단위·누수 확인</x:v>
      </x:c>
      <x:c r="D61" s="26" t="str">
        <x:v>기존 기준선 및 ML 비교 계획 유지</x:v>
      </x:c>
      <x:c r="E61" s="26" t="str">
        <x:v>RF-2.4; RF-3.2</x:v>
      </x:c>
      <x:c r="F61" s="26" t="str">
        <x:v>수집1</x:v>
      </x:c>
    </x:row>
    <x:row r="62" ht="85" customHeight="1">
      <x:c r="A62" s="25" t="str">
        <x:v>07_transformer_sequence.csv</x:v>
      </x:c>
      <x:c r="B62" s="25" t="str">
        <x:v>Transformer 시퀀스 입력 후보</x:v>
      </x:c>
      <x:c r="C62" s="25" t="str">
        <x:v>시간순·길이·패딩·마스킹 정의</x:v>
      </x:c>
      <x:c r="D62" s="25" t="str">
        <x:v>파일 생성과 Transformer 학습 완료는 별개. MLP 비교 계획 유지</x:v>
      </x:c>
      <x:c r="E62" s="25" t="str">
        <x:v>RF-2.5; RF-3.3</x:v>
      </x:c>
      <x:c r="F62" s="25" t="str">
        <x:v>수집1</x:v>
      </x:c>
    </x:row>
    <x:row r="63" ht="85" customHeight="1">
      <x:c r="A63" s="26" t="str">
        <x:v>LOL_CHURN_DATASET.xlsx</x:v>
      </x:c>
      <x:c r="B63" s="26" t="str">
        <x:v>통합 확인용 Excel</x:v>
      </x:c>
      <x:c r="C63" s="26" t="str">
        <x:v>원본 CSV와 행 수·키·내용 대조</x:v>
      </x:c>
      <x:c r="D63" s="26" t="str">
        <x:v>실제 생성 여부와 스키마 확인 필요</x:v>
      </x:c>
      <x:c r="E63" s="26" t="str">
        <x:v>RF-2.1</x:v>
      </x:c>
      <x:c r="F63" s="26" t="str">
        <x:v>수집1</x:v>
      </x:c>
    </x:row>
    <x:row r="64" ht="85" customHeight="1">
      <x:c r="A64" s="25" t="str">
        <x:v>25.csv</x:v>
      </x:c>
      <x:c r="B64" s="25" t="str">
        <x:v>안내서에 파일명만 기재</x:v>
      </x:c>
      <x:c r="C64" s="25" t="str">
        <x:v>담당자가 생성 목적·스키마 확인</x:v>
      </x:c>
      <x:c r="D64" s="25" t="str">
        <x:v>의미 확인 전 학습에 사용하지 않음</x:v>
      </x:c>
      <x:c r="E64" s="25" t="str">
        <x:v>RF-2.1</x:v>
      </x:c>
      <x:c r="F64" s="25" t="str">
        <x:v>수집1</x:v>
      </x:c>
    </x:row>
    <x:row r="65">
      <x:c r="A65" s="2"/>
      <x:c r="B65" s="2"/>
      <x:c r="C65" s="2"/>
      <x:c r="D65" s="2"/>
      <x:c r="E65" s="2"/>
      <x:c r="F65" s="2"/>
    </x:row>
    <x:row r="66">
      <x:c r="A66" s="2"/>
      <x:c r="B66" s="2"/>
      <x:c r="C66" s="2"/>
      <x:c r="D66" s="2"/>
      <x:c r="E66" s="2"/>
      <x:c r="F66" s="2"/>
    </x:row>
    <x:row r="67">
      <x:c r="A67" s="2"/>
      <x:c r="B67" s="2"/>
      <x:c r="C67" s="2"/>
      <x:c r="D67" s="2"/>
      <x:c r="E67" s="2"/>
      <x:c r="F67" s="2"/>
    </x:row>
    <x:row r="68">
      <x:c r="A68" s="2"/>
      <x:c r="B68" s="2"/>
      <x:c r="C68" s="2"/>
      <x:c r="D68" s="2"/>
      <x:c r="E68" s="2"/>
      <x:c r="F68" s="2"/>
    </x:row>
    <x:row r="69">
      <x:c r="A69" s="2"/>
      <x:c r="B69" s="2"/>
      <x:c r="C69" s="2"/>
      <x:c r="D69" s="2"/>
      <x:c r="E69" s="2"/>
      <x:c r="F69" s="2"/>
    </x:row>
    <x:row r="70">
      <x:c r="A70" s="2"/>
      <x:c r="B70" s="2"/>
      <x:c r="C70" s="2"/>
      <x:c r="D70" s="2"/>
      <x:c r="E70" s="2"/>
      <x:c r="F70" s="2"/>
    </x:row>
    <x:row r="71">
      <x:c r="A71" s="2"/>
      <x:c r="B71" s="2"/>
      <x:c r="C71" s="2"/>
      <x:c r="D71" s="2"/>
      <x:c r="E71" s="2"/>
      <x:c r="F71" s="2"/>
    </x:row>
    <x:row r="72">
      <x:c r="A72" s="2"/>
      <x:c r="B72" s="2"/>
      <x:c r="C72" s="2"/>
      <x:c r="D72" s="2"/>
      <x:c r="E72" s="2"/>
      <x:c r="F72" s="2"/>
    </x:row>
    <x:row r="73">
      <x:c r="A73" s="2"/>
      <x:c r="B73" s="2"/>
      <x:c r="C73" s="2"/>
      <x:c r="D73" s="2"/>
      <x:c r="E73" s="2"/>
      <x:c r="F73" s="2"/>
    </x:row>
    <x:row r="74">
      <x:c r="A74" s="2"/>
      <x:c r="B74" s="2"/>
      <x:c r="C74" s="2"/>
      <x:c r="D74" s="2"/>
      <x:c r="E74" s="2"/>
      <x:c r="F74" s="2"/>
    </x:row>
    <x:row r="75">
      <x:c r="A75" s="2"/>
      <x:c r="B75" s="2"/>
      <x:c r="C75" s="2"/>
      <x:c r="D75" s="2"/>
      <x:c r="E75" s="2"/>
      <x:c r="F75" s="2"/>
    </x:row>
    <x:row r="76">
      <x:c r="A76" s="2"/>
      <x:c r="B76" s="2"/>
      <x:c r="C76" s="2"/>
      <x:c r="D76" s="2"/>
      <x:c r="E76" s="2"/>
      <x:c r="F76" s="2"/>
    </x:row>
    <x:row r="77">
      <x:c r="A77" s="2"/>
      <x:c r="B77" s="2"/>
      <x:c r="C77" s="2"/>
      <x:c r="D77" s="2"/>
      <x:c r="E77" s="2"/>
      <x:c r="F77" s="2"/>
    </x:row>
    <x:row r="78">
      <x:c r="A78" s="2"/>
      <x:c r="B78" s="2"/>
      <x:c r="C78" s="2"/>
      <x:c r="D78" s="2"/>
      <x:c r="E78" s="2"/>
      <x:c r="F78" s="2"/>
    </x:row>
    <x:row r="79">
      <x:c r="A79" s="2"/>
      <x:c r="B79" s="2"/>
      <x:c r="C79" s="2"/>
      <x:c r="D79" s="2"/>
      <x:c r="E79" s="2"/>
      <x:c r="F79" s="2"/>
    </x:row>
    <x:row r="80">
      <x:c r="A80" s="2"/>
      <x:c r="B80" s="2"/>
      <x:c r="C80" s="2"/>
      <x:c r="D80" s="2"/>
      <x:c r="E80" s="2"/>
      <x:c r="F80" s="2"/>
    </x:row>
    <x:row r="81">
      <x:c r="A81" s="2"/>
      <x:c r="B81" s="2"/>
      <x:c r="C81" s="2"/>
      <x:c r="D81" s="2"/>
      <x:c r="E81" s="2"/>
      <x:c r="F81" s="2"/>
    </x:row>
    <x:row r="82">
      <x:c r="A82" s="2"/>
      <x:c r="B82" s="2"/>
      <x:c r="C82" s="2"/>
      <x:c r="D82" s="2"/>
      <x:c r="E82" s="2"/>
      <x:c r="F82" s="2"/>
    </x:row>
    <x:row r="83">
      <x:c r="A83" s="2"/>
      <x:c r="B83" s="2"/>
      <x:c r="C83" s="2"/>
      <x:c r="D83" s="2"/>
      <x:c r="E83" s="2"/>
      <x:c r="F83" s="2"/>
    </x:row>
    <x:row r="84">
      <x:c r="A84" s="2"/>
      <x:c r="B84" s="2"/>
      <x:c r="C84" s="2"/>
      <x:c r="D84" s="2"/>
      <x:c r="E84" s="2"/>
      <x:c r="F84" s="2"/>
    </x:row>
    <x:row r="85">
      <x:c r="A85" s="2"/>
      <x:c r="B85" s="2"/>
      <x:c r="C85" s="2"/>
      <x:c r="D85" s="2"/>
      <x:c r="E85" s="2"/>
      <x:c r="F85" s="2"/>
    </x:row>
    <x:row r="86">
      <x:c r="A86" s="2"/>
      <x:c r="B86" s="2"/>
      <x:c r="C86" s="2"/>
      <x:c r="D86" s="2"/>
      <x:c r="E86" s="2"/>
      <x:c r="F86" s="2"/>
    </x:row>
    <x:row r="87">
      <x:c r="A87" s="2"/>
      <x:c r="B87" s="2"/>
      <x:c r="C87" s="2"/>
      <x:c r="D87" s="2"/>
      <x:c r="E87" s="2"/>
      <x:c r="F87" s="2"/>
    </x:row>
    <x:row r="88">
      <x:c r="A88" s="2"/>
      <x:c r="B88" s="2"/>
      <x:c r="C88" s="2"/>
      <x:c r="D88" s="2"/>
      <x:c r="E88" s="2"/>
      <x:c r="F88" s="2"/>
    </x:row>
    <x:row r="89">
      <x:c r="A89" s="2"/>
      <x:c r="B89" s="2"/>
      <x:c r="C89" s="2"/>
      <x:c r="D89" s="2"/>
      <x:c r="E89" s="2"/>
      <x:c r="F89" s="2"/>
    </x:row>
    <x:row r="90">
      <x:c r="A90" s="2"/>
      <x:c r="B90" s="2"/>
      <x:c r="C90" s="2"/>
      <x:c r="D90" s="2"/>
      <x:c r="E90" s="2"/>
      <x:c r="F90" s="2"/>
    </x:row>
    <x:row r="91">
      <x:c r="A91" s="2"/>
      <x:c r="B91" s="2"/>
      <x:c r="C91" s="2"/>
      <x:c r="D91" s="2"/>
      <x:c r="E91" s="2"/>
      <x:c r="F91" s="2"/>
    </x:row>
    <x:row r="92">
      <x:c r="A92" s="2"/>
      <x:c r="B92" s="2"/>
      <x:c r="C92" s="2"/>
      <x:c r="D92" s="2"/>
      <x:c r="E92" s="2"/>
      <x:c r="F92" s="2"/>
    </x:row>
    <x:row r="93">
      <x:c r="A93" s="2"/>
      <x:c r="B93" s="2"/>
      <x:c r="C93" s="2"/>
      <x:c r="D93" s="2"/>
      <x:c r="E93" s="2"/>
      <x:c r="F93" s="2"/>
    </x:row>
    <x:row r="94">
      <x:c r="A94" s="2"/>
      <x:c r="B94" s="2"/>
      <x:c r="C94" s="2"/>
      <x:c r="D94" s="2"/>
      <x:c r="E94" s="2"/>
      <x:c r="F94" s="2"/>
    </x:row>
    <x:row r="95">
      <x:c r="A95" s="2"/>
      <x:c r="B95" s="2"/>
      <x:c r="C95" s="2"/>
      <x:c r="D95" s="2"/>
      <x:c r="E95" s="2"/>
      <x:c r="F95" s="2"/>
    </x:row>
    <x:row r="96">
      <x:c r="A96" s="2"/>
      <x:c r="B96" s="2"/>
      <x:c r="C96" s="2"/>
      <x:c r="D96" s="2"/>
      <x:c r="E96" s="2"/>
      <x:c r="F96" s="2"/>
    </x:row>
    <x:row r="97">
      <x:c r="A97" s="2"/>
      <x:c r="B97" s="2"/>
      <x:c r="C97" s="2"/>
      <x:c r="D97" s="2"/>
      <x:c r="E97" s="2"/>
      <x:c r="F97" s="2"/>
    </x:row>
    <x:row r="98">
      <x:c r="A98" s="2"/>
      <x:c r="B98" s="2"/>
      <x:c r="C98" s="2"/>
      <x:c r="D98" s="2"/>
      <x:c r="E98" s="2"/>
      <x:c r="F98" s="2"/>
    </x:row>
    <x:row r="99">
      <x:c r="A99" s="2"/>
      <x:c r="B99" s="2"/>
      <x:c r="C99" s="2"/>
      <x:c r="D99" s="2"/>
      <x:c r="E99" s="2"/>
      <x:c r="F99" s="2"/>
    </x:row>
    <x:row r="100">
      <x:c r="A100" s="2"/>
      <x:c r="B100" s="2"/>
      <x:c r="C100" s="2"/>
      <x:c r="D100" s="2"/>
      <x:c r="E100" s="2"/>
      <x:c r="F100" s="2"/>
    </x:row>
    <x:row r="101">
      <x:c r="A101" s="2"/>
      <x:c r="B101" s="2"/>
      <x:c r="C101" s="2"/>
      <x:c r="D101" s="2"/>
      <x:c r="E101" s="2"/>
      <x:c r="F101" s="2"/>
    </x:row>
    <x:row r="102">
      <x:c r="A102" s="2"/>
      <x:c r="B102" s="2"/>
      <x:c r="C102" s="2"/>
      <x:c r="D102" s="2"/>
      <x:c r="E102" s="2"/>
      <x:c r="F102" s="2"/>
    </x:row>
    <x:row r="103">
      <x:c r="A103" s="2"/>
      <x:c r="B103" s="2"/>
      <x:c r="C103" s="2"/>
      <x:c r="D103" s="2"/>
      <x:c r="E103" s="2"/>
      <x:c r="F103" s="2"/>
    </x:row>
    <x:row r="104">
      <x:c r="A104" s="2"/>
      <x:c r="B104" s="2"/>
      <x:c r="C104" s="2"/>
      <x:c r="D104" s="2"/>
      <x:c r="E104" s="2"/>
      <x:c r="F104" s="2"/>
    </x:row>
    <x:row r="105">
      <x:c r="A105" s="2"/>
      <x:c r="B105" s="2"/>
      <x:c r="C105" s="2"/>
      <x:c r="D105" s="2"/>
      <x:c r="E105" s="2"/>
      <x:c r="F105" s="2"/>
    </x:row>
    <x:row r="106">
      <x:c r="A106" s="2"/>
      <x:c r="B106" s="2"/>
      <x:c r="C106" s="2"/>
      <x:c r="D106" s="2"/>
      <x:c r="E106" s="2"/>
      <x:c r="F106" s="2"/>
    </x:row>
    <x:row r="107">
      <x:c r="A107" s="2"/>
      <x:c r="B107" s="2"/>
      <x:c r="C107" s="2"/>
      <x:c r="D107" s="2"/>
      <x:c r="E107" s="2"/>
      <x:c r="F107" s="2"/>
    </x:row>
    <x:row r="108">
      <x:c r="A108" s="2"/>
      <x:c r="B108" s="2"/>
      <x:c r="C108" s="2"/>
      <x:c r="D108" s="2"/>
      <x:c r="E108" s="2"/>
      <x:c r="F108" s="2"/>
    </x:row>
    <x:row r="109">
      <x:c r="A109" s="2"/>
      <x:c r="B109" s="2"/>
      <x:c r="C109" s="2"/>
      <x:c r="D109" s="2"/>
      <x:c r="E109" s="2"/>
      <x:c r="F109" s="2"/>
    </x:row>
    <x:row r="110">
      <x:c r="A110" s="2"/>
      <x:c r="B110" s="2"/>
      <x:c r="C110" s="2"/>
      <x:c r="D110" s="2"/>
      <x:c r="E110" s="2"/>
      <x:c r="F110" s="2"/>
    </x:row>
    <x:row r="111">
      <x:c r="A111" s="2"/>
      <x:c r="B111" s="2"/>
      <x:c r="C111" s="2"/>
      <x:c r="D111" s="2"/>
      <x:c r="E111" s="2"/>
      <x:c r="F111" s="2"/>
    </x:row>
    <x:row r="112">
      <x:c r="A112" s="2"/>
      <x:c r="B112" s="2"/>
      <x:c r="C112" s="2"/>
      <x:c r="D112" s="2"/>
      <x:c r="E112" s="2"/>
      <x:c r="F112" s="2"/>
    </x:row>
    <x:row r="113">
      <x:c r="A113" s="2"/>
      <x:c r="B113" s="2"/>
      <x:c r="C113" s="2"/>
      <x:c r="D113" s="2"/>
      <x:c r="E113" s="2"/>
      <x:c r="F113" s="2"/>
    </x:row>
    <x:row r="114">
      <x:c r="A114" s="2"/>
      <x:c r="B114" s="2"/>
      <x:c r="C114" s="2"/>
      <x:c r="D114" s="2"/>
      <x:c r="E114" s="2"/>
      <x:c r="F114" s="2"/>
    </x:row>
    <x:row r="115">
      <x:c r="A115" s="2"/>
      <x:c r="B115" s="2"/>
      <x:c r="C115" s="2"/>
      <x:c r="D115" s="2"/>
      <x:c r="E115" s="2"/>
      <x:c r="F115" s="2"/>
    </x:row>
    <x:row r="116">
      <x:c r="A116" s="2"/>
      <x:c r="B116" s="2"/>
      <x:c r="C116" s="2"/>
      <x:c r="D116" s="2"/>
      <x:c r="E116" s="2"/>
      <x:c r="F116" s="2"/>
    </x:row>
    <x:row r="117">
      <x:c r="A117" s="2"/>
      <x:c r="B117" s="2"/>
      <x:c r="C117" s="2"/>
      <x:c r="D117" s="2"/>
      <x:c r="E117" s="2"/>
      <x:c r="F117" s="2"/>
    </x:row>
    <x:row r="118">
      <x:c r="A118" s="2"/>
      <x:c r="B118" s="2"/>
      <x:c r="C118" s="2"/>
      <x:c r="D118" s="2"/>
      <x:c r="E118" s="2"/>
      <x:c r="F118" s="2"/>
    </x:row>
    <x:row r="119">
      <x:c r="A119" s="2"/>
      <x:c r="B119" s="2"/>
      <x:c r="C119" s="2"/>
      <x:c r="D119" s="2"/>
      <x:c r="E119" s="2"/>
      <x:c r="F119" s="2"/>
    </x:row>
    <x:row r="120">
      <x:c r="A120" s="2"/>
      <x:c r="B120" s="2"/>
      <x:c r="C120" s="2"/>
      <x:c r="D120" s="2"/>
      <x:c r="E120" s="2"/>
      <x:c r="F120" s="2"/>
    </x:row>
  </x:sheetData>
  <x:pageMargins left="0.7" right="0.7" top="0.75" bottom="0.75" header="0.3" footer="0.3"/>
  <x:tableParts count="2">
    <x:tablePart xmlns:r="http://schemas.openxmlformats.org/officeDocument/2006/relationships" r:id="R0a7ac512498e4bb7"/>
    <x:tablePart xmlns:r="http://schemas.openxmlformats.org/officeDocument/2006/relationships" r:id="R04891518df1e46f9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38" hidden="0" customWidth="1"/>
    <x:col min="3" max="3" width="52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22" hidden="0" customWidth="1"/>
    <x:col min="9" max="9" width="20" hidden="0" customWidth="1"/>
    <x:col min="10" max="10" width="54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30" customHeight="1">
      <x:c r="A2" s="3" t="str">
        <x:v>가설과 KPI 검증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5" customHeight="1">
      <x:c r="A3" s="4" t="str">
        <x:v>목표는 기획서 제안값 · 실측값과 증빙을 입력하기 전에는 달성을 판정하지 않음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2" customHeight="1">
      <x:c r="A5" s="8" t="str">
        <x:v>ID</x:v>
      </x:c>
      <x:c r="B5" s="8" t="str">
        <x:v>가설·지표</x:v>
      </x:c>
      <x:c r="C5" s="8" t="str">
        <x:v>산출 정의</x:v>
      </x:c>
      <x:c r="D5" s="8" t="str">
        <x:v>목표 상태</x:v>
      </x:c>
      <x:c r="E5" s="8" t="str">
        <x:v>목표</x:v>
      </x:c>
      <x:c r="F5" s="8" t="str">
        <x:v>실측 A</x:v>
      </x:c>
      <x:c r="G5" s="8" t="str">
        <x:v>비교값 B</x:v>
      </x:c>
      <x:c r="H5" s="8" t="str">
        <x:v>계산 결과</x:v>
      </x:c>
      <x:c r="I5" s="8" t="str">
        <x:v>판정</x:v>
      </x:c>
      <x:c r="J5" s="8" t="str">
        <x:v>측정 조건·증빙</x:v>
      </x:c>
    </x:row>
    <x:row r="6" ht="42" customHeight="1">
      <x:c r="A6" s="10" t="str">
        <x:v>KPI-01</x:v>
      </x:c>
      <x:c r="B6" s="10" t="str">
        <x:v>Precision@20% 개선</x:v>
      </x:c>
      <x:c r="C6" s="10" t="str">
        <x:v>모델 P@20% - 최근성 기준선 P@20%</x:v>
      </x:c>
      <x:c r="D6" s="13" t="str">
        <x:v>제안</x:v>
      </x:c>
      <x:c r="E6" s="19" t="n">
        <x:v>0.05</x:v>
      </x:c>
      <x:c r="F6" s="19"/>
      <x:c r="G6" s="19"/>
      <x:c r="H6" s="15" t="str">
        <x:f>IF(COUNT(F6:G6)&lt;2,"미측정",F6-G6)</x:f>
        <x:v>미측정</x:v>
      </x:c>
      <x:c r="I6" s="10" t="str">
        <x:f>IF(ISNUMBER(H6),IF(D6="확정",IF(H6&gt;=E6,"달성","미달"),"목표 미확정"),H6)</x:f>
        <x:v>미측정</x:v>
      </x:c>
      <x:c r="J6" s="13" t="str">
        <x:v>같은 시험 표본·상위20%·동점 규칙. 최종 시험 전에 목표 확정. 실측과 증빙 미입력</x:v>
      </x:c>
    </x:row>
    <x:row r="7" ht="42" customHeight="1">
      <x:c r="A7" s="9" t="str">
        <x:v>KPI-02</x:v>
      </x:c>
      <x:c r="B7" s="9" t="str">
        <x:v>Lift@20%</x:v>
      </x:c>
      <x:c r="C7" s="9" t="str">
        <x:v>모델 상위20% 이탈 비율 / 전체 시험 이탈 비율</x:v>
      </x:c>
      <x:c r="D7" s="13" t="str">
        <x:v>제안</x:v>
      </x:c>
      <x:c r="E7" s="20" t="n">
        <x:v>1.5</x:v>
      </x:c>
      <x:c r="F7" s="19"/>
      <x:c r="G7" s="19"/>
      <x:c r="H7" s="17" t="str">
        <x:f>IF(COUNT(F7:G7)&lt;2,"미측정",IF(G7=0,"산출 불가",F7/G7))</x:f>
        <x:v>미측정</x:v>
      </x:c>
      <x:c r="I7" s="9" t="str">
        <x:f>IF(ISNUMBER(H7),IF(D7="확정",IF(H7&gt;=E7,"달성","미달"),"목표 미확정"),H7)</x:f>
        <x:v>미측정</x:v>
      </x:c>
      <x:c r="J7" s="13" t="str">
        <x:v>동일 시험 표본, 전체 이탈 비율&gt;0. 실측과 증빙 미입력</x:v>
      </x:c>
    </x:row>
    <x:row r="8" ht="42" customHeight="1">
      <x:c r="A8" s="10" t="str">
        <x:v>KPI-03</x:v>
      </x:c>
      <x:c r="B8" s="10" t="str">
        <x:v>대상 선정 시간 단축</x:v>
      </x:c>
      <x:c r="C8" s="10" t="str">
        <x:v>(기존 시간 - 모델 사용 시간) / 기존 시간</x:v>
      </x:c>
      <x:c r="D8" s="13" t="str">
        <x:v>조건부</x:v>
      </x:c>
      <x:c r="E8" s="19" t="n">
        <x:v>0.2</x:v>
      </x:c>
      <x:c r="F8" s="21"/>
      <x:c r="G8" s="21"/>
      <x:c r="H8" s="15" t="str">
        <x:f>IF(COUNT(F8:G8)&lt;2,"미측정",IF(F8&lt;=0,"산출 불가",(F8-G8)/F8))</x:f>
        <x:v>미측정</x:v>
      </x:c>
      <x:c r="I8" s="10" t="str">
        <x:f>IF(ISNUMBER(H8),IF(D8="확정",IF(H8&gt;=E8,"달성","미달"),"목표 미확정"),H8)</x:f>
        <x:v>미측정</x:v>
      </x:c>
      <x:c r="J8" s="13" t="str">
        <x:v>A=기존 시간(분), B=모델 시간(분). 게임 운영 담당자 인터뷰 일정 없음. 실제 운영자·동일 과제 평가 증빙이 없으므로 미검증</x:v>
      </x:c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</x:row>
    <x:row r="11" ht="28" customHeight="1">
      <x:c r="A11" s="14" t="str">
        <x:v>지표 입력·판정 안내</x:v>
      </x:c>
      <x:c r="B11" s="2"/>
      <x:c r="C11" s="2"/>
      <x:c r="D11" s="2"/>
      <x:c r="E11" s="2"/>
      <x:c r="F11" s="2"/>
      <x:c r="G11" s="2"/>
      <x:c r="H11" s="2"/>
      <x:c r="I11" s="2"/>
      <x:c r="J11" s="2"/>
    </x:row>
    <x:row r="12" ht="32" customHeight="1">
      <x:c r="A12" s="8" t="str">
        <x:v>항목</x:v>
      </x:c>
      <x:c r="B12" s="8" t="str">
        <x:v>내용</x:v>
      </x:c>
      <x:c r="C12" s="8" t="str">
        <x:v>해석</x:v>
      </x:c>
      <x:c r="D12" s="2"/>
      <x:c r="E12" s="2"/>
      <x:c r="F12" s="2"/>
      <x:c r="G12" s="2"/>
      <x:c r="H12" s="2"/>
      <x:c r="I12" s="2"/>
      <x:c r="J12" s="2"/>
    </x:row>
    <x:row r="13" ht="42" customHeight="1">
      <x:c r="A13" s="10" t="str">
        <x:v>입력 단위</x:v>
      </x:c>
      <x:c r="B13" s="10" t="str">
        <x:v>비율은 0~1의 숫자, 시간은 분</x:v>
      </x:c>
      <x:c r="C13" s="10" t="str">
        <x:v>KPI-01의 5%p는 0.05이다. H6은 두 비율의 차이를 % 표시한다.</x:v>
      </x:c>
      <x:c r="D13" s="2"/>
      <x:c r="E13" s="2"/>
      <x:c r="F13" s="2"/>
      <x:c r="G13" s="2"/>
      <x:c r="H13" s="2"/>
      <x:c r="I13" s="2"/>
      <x:c r="J13" s="2"/>
    </x:row>
    <x:row r="14" ht="42" customHeight="1">
      <x:c r="A14" s="9" t="str">
        <x:v>검증 범위</x:v>
      </x:c>
      <x:c r="B14" s="9" t="str">
        <x:v>KPI-01~02는 모델 성능, KPI-03은 사용자 효용</x:v>
      </x:c>
      <x:c r="C14" s="9" t="str">
        <x:v>미측정·목표 미확정·달성·미달을 구분한다.</x:v>
      </x:c>
      <x:c r="D14" s="2"/>
      <x:c r="E14" s="2"/>
      <x:c r="F14" s="2"/>
      <x:c r="G14" s="2"/>
      <x:c r="H14" s="2"/>
      <x:c r="I14" s="2"/>
      <x:c r="J14" s="2"/>
    </x:row>
    <x:row r="15" ht="42" customHeight="1">
      <x:c r="A15" s="10" t="str">
        <x:v>판정 전 확인</x:v>
      </x:c>
      <x:c r="B15" s="10" t="str">
        <x:v>담당자는 J열에 시험 범위·분모·증빙 위치를 입력</x:v>
      </x:c>
      <x:c r="C15" s="10" t="str">
        <x:v>수식 판정은 입력값 비교이며 증빙 검증을 대신하지 않는다.</x:v>
      </x:c>
      <x:c r="D15" s="2"/>
      <x:c r="E15" s="2"/>
      <x:c r="F15" s="2"/>
      <x:c r="G15" s="2"/>
      <x:c r="H15" s="2"/>
      <x:c r="I15" s="2"/>
      <x:c r="J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</x:row>
    <x:row r="18" ht="28" customHeight="1">
      <x:c r="A18" s="14" t="str">
        <x:v>보조 지표와 검증 계획</x:v>
      </x:c>
      <x:c r="B18" s="2"/>
      <x:c r="C18" s="2"/>
      <x:c r="D18" s="2"/>
      <x:c r="E18" s="2"/>
      <x:c r="F18" s="2"/>
      <x:c r="G18" s="2"/>
      <x:c r="H18" s="2"/>
      <x:c r="I18" s="2"/>
      <x:c r="J18" s="2"/>
    </x:row>
    <x:row r="19" ht="32" customHeight="1">
      <x:c r="A19" s="8" t="str">
        <x:v>항목</x:v>
      </x:c>
      <x:c r="B19" s="8" t="str">
        <x:v>검증 내용</x:v>
      </x:c>
      <x:c r="C19" s="8" t="str">
        <x:v>결과·증빙</x:v>
      </x:c>
      <x:c r="D19" s="2"/>
      <x:c r="E19" s="2"/>
      <x:c r="F19" s="2"/>
      <x:c r="G19" s="2"/>
      <x:c r="H19" s="2"/>
      <x:c r="I19" s="2"/>
      <x:c r="J19" s="2"/>
    </x:row>
    <x:row r="20" ht="57" customHeight="1">
      <x:c r="A20" s="10" t="str">
        <x:v>PR-AUC / ROC-AUC</x:v>
      </x:c>
      <x:c r="B20" s="10" t="str">
        <x:v>양성 정의와 시험 표본, 산출 라이브러리·방식을 기록. 한 클래스만 있으면 계산 가능성 점검</x:v>
      </x:c>
      <x:c r="C20" s="10" t="str">
        <x:v>미측정</x:v>
      </x:c>
      <x:c r="D20" s="2"/>
      <x:c r="E20" s="2"/>
      <x:c r="F20" s="2"/>
      <x:c r="G20" s="2"/>
      <x:c r="H20" s="2"/>
      <x:c r="I20" s="2"/>
      <x:c r="J20" s="2"/>
    </x:row>
    <x:row r="21" ht="42" customHeight="1">
      <x:c r="A21" s="9" t="str">
        <x:v>Precision / Recall / F1</x:v>
      </x:c>
      <x:c r="B21" s="9" t="str">
        <x:v>검증에서 정한 임계값과 혼동행렬을 함께 보고</x:v>
      </x:c>
      <x:c r="C21" s="9" t="str">
        <x:v>미측정</x:v>
      </x:c>
      <x:c r="D21" s="2"/>
      <x:c r="E21" s="2"/>
      <x:c r="F21" s="2"/>
      <x:c r="G21" s="2"/>
      <x:c r="H21" s="2"/>
      <x:c r="I21" s="2"/>
      <x:c r="J21" s="2"/>
    </x:row>
    <x:row r="22" ht="42" customHeight="1">
      <x:c r="A22" s="10" t="str">
        <x:v>집단별 성능</x:v>
      </x:c>
      <x:c r="B22" s="10" t="str">
        <x:v>모드·티어별 표본 수와 오류를 함께 제시. 작은 표본 일반화 금지</x:v>
      </x:c>
      <x:c r="C22" s="10" t="str">
        <x:v>미측정</x:v>
      </x:c>
      <x:c r="D22" s="2"/>
      <x:c r="E22" s="2"/>
      <x:c r="F22" s="2"/>
      <x:c r="G22" s="2"/>
      <x:c r="H22" s="2"/>
      <x:c r="I22" s="2"/>
      <x:c r="J22" s="2"/>
    </x:row>
    <x:row r="23" ht="42" customHeight="1">
      <x:c r="A23" s="9" t="str">
        <x:v>재현·추론</x:v>
      </x:c>
      <x:c r="B23" s="9" t="str">
        <x:v>저장 모델·전처리 재로드 후 동일 샘플 예측 대조</x:v>
      </x:c>
      <x:c r="C23" s="9" t="str">
        <x:v>미검증</x:v>
      </x:c>
      <x:c r="D23" s="2"/>
      <x:c r="E23" s="2"/>
      <x:c r="F23" s="2"/>
      <x:c r="G23" s="2"/>
      <x:c r="H23" s="2"/>
      <x:c r="I23" s="2"/>
      <x:c r="J23" s="2"/>
    </x:row>
    <x:row r="24" ht="42" customHeight="1">
      <x:c r="A24" s="10" t="str">
        <x:v>성과 범위</x:v>
      </x:c>
      <x:c r="B24" s="10" t="str">
        <x:v>이탈률 감소·재방문·매출 효과는 개입 실험이 필요</x:v>
      </x:c>
      <x:c r="C24" s="10" t="str">
        <x:v>이번 오프라인 프로젝트에서는 미검증</x:v>
      </x:c>
      <x:c r="D24" s="2"/>
      <x:c r="E24" s="2"/>
      <x:c r="F24" s="2"/>
      <x:c r="G24" s="2"/>
      <x:c r="H24" s="2"/>
      <x:c r="I24" s="2"/>
      <x:c r="J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</x:row>
  </x:sheetData>
  <x:dataValidations count="1">
    <x:dataValidation type="list" sqref="D6:D8">
      <x:formula1>"제안,확정,조건부,보류"</x:formula1>
    </x:dataValidation>
  </x:dataValidations>
  <x:pageMargins left="0.7" right="0.7" top="0.75" bottom="0.75" header="0.3" footer="0.3"/>
  <x:tableParts count="3">
    <x:tablePart xmlns:r="http://schemas.openxmlformats.org/officeDocument/2006/relationships" r:id="R363ef6a0cb304ec3"/>
    <x:tablePart xmlns:r="http://schemas.openxmlformats.org/officeDocument/2006/relationships" r:id="R52dde98067504bef"/>
    <x:tablePart xmlns:r="http://schemas.openxmlformats.org/officeDocument/2006/relationships" r:id="Rf24a0162f1924759"/>
  </x:tableParts>
</x:worksheet>
</file>